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JESSE\Documents\"/>
    </mc:Choice>
  </mc:AlternateContent>
  <xr:revisionPtr revIDLastSave="0" documentId="13_ncr:1_{C202DD69-65A9-4671-BA26-4A76AE6EC232}" xr6:coauthVersionLast="47" xr6:coauthVersionMax="47" xr10:uidLastSave="{00000000-0000-0000-0000-000000000000}"/>
  <workbookProtection workbookAlgorithmName="SHA-512" workbookHashValue="iDYc8kkRFzXD32kVL+xMS1434bdvO2r2gGopSUsQzJOodOQd1uINuJ3dnwF9MZZcSeGKFLuJCg5MAgixO8cAlQ==" workbookSaltValue="7bfjGr3thpW0X9N00x9BPQ==" workbookSpinCount="100000" lockStructure="1"/>
  <bookViews>
    <workbookView xWindow="-120" yWindow="-120" windowWidth="20730" windowHeight="11040" firstSheet="2" activeTab="5" xr2:uid="{00000000-000D-0000-FFFF-FFFF00000000}"/>
  </bookViews>
  <sheets>
    <sheet name="downstream_data" sheetId="1" r:id="rId1"/>
    <sheet name="Product_Performance" sheetId="2" r:id="rId2"/>
    <sheet name="Depot_Performance" sheetId="4" r:id="rId3"/>
    <sheet name="Monthly_Trends" sheetId="5" r:id="rId4"/>
    <sheet name="Customer_Analysis" sheetId="6" r:id="rId5"/>
    <sheet name="DASHBOARD" sheetId="7" r:id="rId6"/>
    <sheet name="KPI_PVT" sheetId="9" state="hidden" r:id="rId7"/>
  </sheets>
  <definedNames>
    <definedName name="Slicer_Depot">#N/A</definedName>
    <definedName name="Slicer_Months">#N/A</definedName>
    <definedName name="Slicer_Product">#N/A</definedName>
  </definedNames>
  <calcPr calcId="191029"/>
  <pivotCaches>
    <pivotCache cacheId="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9" l="1"/>
  <c r="D12" i="9"/>
  <c r="D10" i="9"/>
  <c r="D7" i="9"/>
  <c r="D4" i="9"/>
  <c r="C7" i="9"/>
  <c r="C4" i="9"/>
</calcChain>
</file>

<file path=xl/sharedStrings.xml><?xml version="1.0" encoding="utf-8"?>
<sst xmlns="http://schemas.openxmlformats.org/spreadsheetml/2006/main" count="2536" uniqueCount="29">
  <si>
    <t>Date</t>
  </si>
  <si>
    <t>Depot</t>
  </si>
  <si>
    <t>Product</t>
  </si>
  <si>
    <t>Quantity_Litres</t>
  </si>
  <si>
    <t>Unit_Price</t>
  </si>
  <si>
    <t>Total_Revenue</t>
  </si>
  <si>
    <t>Cost_Price</t>
  </si>
  <si>
    <t>Gross_Margin</t>
  </si>
  <si>
    <t>Customer_Type</t>
  </si>
  <si>
    <t>Stock_Before</t>
  </si>
  <si>
    <t>Stock_After</t>
  </si>
  <si>
    <t>Lagos</t>
  </si>
  <si>
    <t>PMS</t>
  </si>
  <si>
    <t>Bulk</t>
  </si>
  <si>
    <t>AGO</t>
  </si>
  <si>
    <t>DPK</t>
  </si>
  <si>
    <t>Warri</t>
  </si>
  <si>
    <t>Retail</t>
  </si>
  <si>
    <t>Port Harcourt</t>
  </si>
  <si>
    <t>Row Labels</t>
  </si>
  <si>
    <t>Grand Total</t>
  </si>
  <si>
    <t>Sum of Quantity_Litres</t>
  </si>
  <si>
    <t>Sum of Total_Revenue</t>
  </si>
  <si>
    <t>Sum of Gross_Margin</t>
  </si>
  <si>
    <t>Oct</t>
  </si>
  <si>
    <t>Nov</t>
  </si>
  <si>
    <t>Dec</t>
  </si>
  <si>
    <t>Downstream Sales &amp; Revenue Dashboard</t>
  </si>
  <si>
    <t>Sum of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</si>
</sst>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24"/>
      <color theme="4"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5"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0" fontId="0" fillId="0" borderId="0" xfId="0" applyNumberFormat="1"/>
    <xf numFmtId="0" fontId="0" fillId="0" borderId="0" xfId="0" applyAlignment="1">
      <alignment wrapText="1"/>
    </xf>
    <xf numFmtId="0" fontId="0" fillId="33" borderId="0" xfId="0" applyFill="1"/>
    <xf numFmtId="0" fontId="19" fillId="34" borderId="10" xfId="0" applyFont="1" applyFill="1" applyBorder="1" applyAlignment="1">
      <alignment horizontal="center"/>
    </xf>
    <xf numFmtId="0" fontId="18" fillId="34"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[main_downstream_data.xlsx]Product_Performance!PivotTable1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REVENUE</a:t>
            </a:r>
            <a:r>
              <a:rPr lang="en-GB" b="1" baseline="0">
                <a:solidFill>
                  <a:schemeClr val="tx1"/>
                </a:solidFill>
              </a:rPr>
              <a:t> BY PRODUCT</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Product_Performance!$B$3</c:f>
              <c:strCache>
                <c:ptCount val="1"/>
                <c:pt idx="0">
                  <c:v>Sum of Gross_Margin</c:v>
                </c:pt>
              </c:strCache>
            </c:strRef>
          </c:tx>
          <c:spPr>
            <a:solidFill>
              <a:schemeClr val="accent1"/>
            </a:solidFill>
            <a:ln>
              <a:noFill/>
            </a:ln>
            <a:effectLst/>
          </c:spPr>
          <c:invertIfNegative val="0"/>
          <c:cat>
            <c:strRef>
              <c:f>Product_Performance!$A$4:$A$7</c:f>
              <c:strCache>
                <c:ptCount val="3"/>
                <c:pt idx="0">
                  <c:v>AGO</c:v>
                </c:pt>
                <c:pt idx="1">
                  <c:v>DPK</c:v>
                </c:pt>
                <c:pt idx="2">
                  <c:v>PMS</c:v>
                </c:pt>
              </c:strCache>
            </c:strRef>
          </c:cat>
          <c:val>
            <c:numRef>
              <c:f>Product_Performance!$B$4:$B$7</c:f>
              <c:numCache>
                <c:formatCode>"₦"#,##0</c:formatCode>
                <c:ptCount val="3"/>
                <c:pt idx="0">
                  <c:v>803053764</c:v>
                </c:pt>
                <c:pt idx="1">
                  <c:v>828498971</c:v>
                </c:pt>
                <c:pt idx="2">
                  <c:v>824310389</c:v>
                </c:pt>
              </c:numCache>
            </c:numRef>
          </c:val>
          <c:extLst>
            <c:ext xmlns:c16="http://schemas.microsoft.com/office/drawing/2014/chart" uri="{C3380CC4-5D6E-409C-BE32-E72D297353CC}">
              <c16:uniqueId val="{00000000-8F2C-4B8F-809C-7EDD2F039D0A}"/>
            </c:ext>
          </c:extLst>
        </c:ser>
        <c:ser>
          <c:idx val="1"/>
          <c:order val="1"/>
          <c:tx>
            <c:strRef>
              <c:f>Product_Performance!$C$3</c:f>
              <c:strCache>
                <c:ptCount val="1"/>
                <c:pt idx="0">
                  <c:v>Sum of Total_Revenue</c:v>
                </c:pt>
              </c:strCache>
            </c:strRef>
          </c:tx>
          <c:spPr>
            <a:solidFill>
              <a:schemeClr val="accent2"/>
            </a:solidFill>
            <a:ln>
              <a:noFill/>
            </a:ln>
            <a:effectLst/>
          </c:spPr>
          <c:invertIfNegative val="0"/>
          <c:cat>
            <c:strRef>
              <c:f>Product_Performance!$A$4:$A$7</c:f>
              <c:strCache>
                <c:ptCount val="3"/>
                <c:pt idx="0">
                  <c:v>AGO</c:v>
                </c:pt>
                <c:pt idx="1">
                  <c:v>DPK</c:v>
                </c:pt>
                <c:pt idx="2">
                  <c:v>PMS</c:v>
                </c:pt>
              </c:strCache>
            </c:strRef>
          </c:cat>
          <c:val>
            <c:numRef>
              <c:f>Product_Performance!$C$4:$C$7</c:f>
              <c:numCache>
                <c:formatCode>"₦"#,##0</c:formatCode>
                <c:ptCount val="3"/>
                <c:pt idx="0">
                  <c:v>12228194739</c:v>
                </c:pt>
                <c:pt idx="1">
                  <c:v>8061437093</c:v>
                </c:pt>
                <c:pt idx="2">
                  <c:v>9663695798</c:v>
                </c:pt>
              </c:numCache>
            </c:numRef>
          </c:val>
          <c:extLst>
            <c:ext xmlns:c16="http://schemas.microsoft.com/office/drawing/2014/chart" uri="{C3380CC4-5D6E-409C-BE32-E72D297353CC}">
              <c16:uniqueId val="{00000001-8F2C-4B8F-809C-7EDD2F039D0A}"/>
            </c:ext>
          </c:extLst>
        </c:ser>
        <c:dLbls>
          <c:showLegendKey val="0"/>
          <c:showVal val="0"/>
          <c:showCatName val="0"/>
          <c:showSerName val="0"/>
          <c:showPercent val="0"/>
          <c:showBubbleSize val="0"/>
        </c:dLbls>
        <c:gapWidth val="219"/>
        <c:overlap val="-27"/>
        <c:axId val="1257392351"/>
        <c:axId val="1257390271"/>
      </c:barChart>
      <c:catAx>
        <c:axId val="125739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PRODUCT</a:t>
                </a:r>
              </a:p>
            </c:rich>
          </c:tx>
          <c:layout>
            <c:manualLayout>
              <c:xMode val="edge"/>
              <c:yMode val="edge"/>
              <c:x val="0.37274092278506255"/>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57390271"/>
        <c:crosses val="autoZero"/>
        <c:auto val="1"/>
        <c:lblAlgn val="ctr"/>
        <c:lblOffset val="100"/>
        <c:noMultiLvlLbl val="0"/>
      </c:catAx>
      <c:valAx>
        <c:axId val="1257390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TOTAL</a:t>
                </a:r>
                <a:r>
                  <a:rPr lang="en-GB" b="1" baseline="0">
                    <a:solidFill>
                      <a:schemeClr val="tx1"/>
                    </a:solidFill>
                  </a:rPr>
                  <a:t> REVENUE</a:t>
                </a:r>
                <a:endParaRPr lang="en-GB" b="1">
                  <a:solidFill>
                    <a:schemeClr val="tx1"/>
                  </a:solidFill>
                </a:endParaRPr>
              </a:p>
            </c:rich>
          </c:tx>
          <c:layout>
            <c:manualLayout>
              <c:xMode val="edge"/>
              <c:yMode val="edge"/>
              <c:x val="3.0116358658453114E-2"/>
              <c:y val="0.276473826188393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5739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[main_downstream_data.xlsx]Depot_Performance!PivotTable2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DEPOT</a:t>
            </a:r>
            <a:r>
              <a:rPr lang="en-GB" b="1" baseline="0">
                <a:solidFill>
                  <a:schemeClr val="tx1"/>
                </a:solidFill>
              </a:rPr>
              <a:t> PERFORMANCE</a:t>
            </a:r>
            <a:r>
              <a:rPr lang="en-GB" b="1">
                <a:solidFill>
                  <a:schemeClr val="tx1"/>
                </a:solidFill>
              </a:rPr>
              <a:t> </a:t>
            </a:r>
          </a:p>
        </c:rich>
      </c:tx>
      <c:layout>
        <c:manualLayout>
          <c:xMode val="edge"/>
          <c:yMode val="edge"/>
          <c:x val="0.35814719707506409"/>
          <c:y val="2.15924395857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82741765097782"/>
          <c:y val="4.1666666666666664E-2"/>
          <c:w val="0.55032376109640091"/>
          <c:h val="0.8416746864975212"/>
        </c:manualLayout>
      </c:layout>
      <c:bar3DChart>
        <c:barDir val="bar"/>
        <c:grouping val="clustered"/>
        <c:varyColors val="0"/>
        <c:ser>
          <c:idx val="0"/>
          <c:order val="0"/>
          <c:tx>
            <c:strRef>
              <c:f>Depot_Performance!$B$3</c:f>
              <c:strCache>
                <c:ptCount val="1"/>
                <c:pt idx="0">
                  <c:v>Sum of Total_Revenue</c:v>
                </c:pt>
              </c:strCache>
            </c:strRef>
          </c:tx>
          <c:spPr>
            <a:solidFill>
              <a:schemeClr val="accent1"/>
            </a:solidFill>
            <a:ln>
              <a:noFill/>
            </a:ln>
            <a:effectLst/>
            <a:sp3d/>
          </c:spPr>
          <c:invertIfNegative val="0"/>
          <c:cat>
            <c:strRef>
              <c:f>Depot_Performance!$A$4:$A$7</c:f>
              <c:strCache>
                <c:ptCount val="3"/>
                <c:pt idx="0">
                  <c:v>Lagos</c:v>
                </c:pt>
                <c:pt idx="1">
                  <c:v>Port Harcourt</c:v>
                </c:pt>
                <c:pt idx="2">
                  <c:v>Warri</c:v>
                </c:pt>
              </c:strCache>
            </c:strRef>
          </c:cat>
          <c:val>
            <c:numRef>
              <c:f>Depot_Performance!$B$4:$B$7</c:f>
              <c:numCache>
                <c:formatCode>"₦"#,##0</c:formatCode>
                <c:ptCount val="3"/>
                <c:pt idx="0">
                  <c:v>10014129260</c:v>
                </c:pt>
                <c:pt idx="1">
                  <c:v>9801549843</c:v>
                </c:pt>
                <c:pt idx="2">
                  <c:v>10137648527</c:v>
                </c:pt>
              </c:numCache>
            </c:numRef>
          </c:val>
          <c:extLst>
            <c:ext xmlns:c16="http://schemas.microsoft.com/office/drawing/2014/chart" uri="{C3380CC4-5D6E-409C-BE32-E72D297353CC}">
              <c16:uniqueId val="{00000000-DDDF-4482-80EF-888E20F27A8C}"/>
            </c:ext>
          </c:extLst>
        </c:ser>
        <c:ser>
          <c:idx val="1"/>
          <c:order val="1"/>
          <c:tx>
            <c:strRef>
              <c:f>Depot_Performance!$C$3</c:f>
              <c:strCache>
                <c:ptCount val="1"/>
                <c:pt idx="0">
                  <c:v>Sum of Gross_Margin</c:v>
                </c:pt>
              </c:strCache>
            </c:strRef>
          </c:tx>
          <c:spPr>
            <a:solidFill>
              <a:schemeClr val="accent2"/>
            </a:solidFill>
            <a:ln>
              <a:noFill/>
            </a:ln>
            <a:effectLst/>
            <a:sp3d/>
          </c:spPr>
          <c:invertIfNegative val="0"/>
          <c:cat>
            <c:strRef>
              <c:f>Depot_Performance!$A$4:$A$7</c:f>
              <c:strCache>
                <c:ptCount val="3"/>
                <c:pt idx="0">
                  <c:v>Lagos</c:v>
                </c:pt>
                <c:pt idx="1">
                  <c:v>Port Harcourt</c:v>
                </c:pt>
                <c:pt idx="2">
                  <c:v>Warri</c:v>
                </c:pt>
              </c:strCache>
            </c:strRef>
          </c:cat>
          <c:val>
            <c:numRef>
              <c:f>Depot_Performance!$C$4:$C$7</c:f>
              <c:numCache>
                <c:formatCode>"₦"#,##0</c:formatCode>
                <c:ptCount val="3"/>
                <c:pt idx="0">
                  <c:v>803488043</c:v>
                </c:pt>
                <c:pt idx="1">
                  <c:v>834075972</c:v>
                </c:pt>
                <c:pt idx="2">
                  <c:v>818299109</c:v>
                </c:pt>
              </c:numCache>
            </c:numRef>
          </c:val>
          <c:extLst>
            <c:ext xmlns:c16="http://schemas.microsoft.com/office/drawing/2014/chart" uri="{C3380CC4-5D6E-409C-BE32-E72D297353CC}">
              <c16:uniqueId val="{00000001-DDDF-4482-80EF-888E20F27A8C}"/>
            </c:ext>
          </c:extLst>
        </c:ser>
        <c:dLbls>
          <c:showLegendKey val="0"/>
          <c:showVal val="0"/>
          <c:showCatName val="0"/>
          <c:showSerName val="0"/>
          <c:showPercent val="0"/>
          <c:showBubbleSize val="0"/>
        </c:dLbls>
        <c:gapWidth val="150"/>
        <c:shape val="box"/>
        <c:axId val="1145851775"/>
        <c:axId val="1145853855"/>
        <c:axId val="0"/>
      </c:bar3DChart>
      <c:catAx>
        <c:axId val="1145851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DEPOTS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45853855"/>
        <c:crosses val="autoZero"/>
        <c:auto val="1"/>
        <c:lblAlgn val="ctr"/>
        <c:lblOffset val="100"/>
        <c:noMultiLvlLbl val="0"/>
      </c:catAx>
      <c:valAx>
        <c:axId val="1145853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4585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[main_downstream_data.xlsx]Monthly_Trends!PivotTable3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a:t>
            </a:r>
            <a:r>
              <a:rPr lang="en-US" b="1" baseline="0">
                <a:solidFill>
                  <a:schemeClr val="tx1"/>
                </a:solidFill>
              </a:rPr>
              <a:t> 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Monthly_Trends!$A$4:$A$7</c:f>
              <c:strCache>
                <c:ptCount val="3"/>
                <c:pt idx="0">
                  <c:v>Oct</c:v>
                </c:pt>
                <c:pt idx="1">
                  <c:v>Nov</c:v>
                </c:pt>
                <c:pt idx="2">
                  <c:v>Dec</c:v>
                </c:pt>
              </c:strCache>
            </c:strRef>
          </c:cat>
          <c:val>
            <c:numRef>
              <c:f>Monthly_Trends!$B$4:$B$7</c:f>
              <c:numCache>
                <c:formatCode>"₦"#,##0</c:formatCode>
                <c:ptCount val="3"/>
                <c:pt idx="0">
                  <c:v>9943305491</c:v>
                </c:pt>
                <c:pt idx="1">
                  <c:v>10006464101</c:v>
                </c:pt>
                <c:pt idx="2">
                  <c:v>10003558038</c:v>
                </c:pt>
              </c:numCache>
            </c:numRef>
          </c:val>
          <c:smooth val="0"/>
          <c:extLst>
            <c:ext xmlns:c16="http://schemas.microsoft.com/office/drawing/2014/chart" uri="{C3380CC4-5D6E-409C-BE32-E72D297353CC}">
              <c16:uniqueId val="{00000000-65C8-4395-9527-07DF3E62AA86}"/>
            </c:ext>
          </c:extLst>
        </c:ser>
        <c:dLbls>
          <c:showLegendKey val="0"/>
          <c:showVal val="0"/>
          <c:showCatName val="0"/>
          <c:showSerName val="0"/>
          <c:showPercent val="0"/>
          <c:showBubbleSize val="0"/>
        </c:dLbls>
        <c:marker val="1"/>
        <c:smooth val="0"/>
        <c:axId val="1265967583"/>
        <c:axId val="1261366927"/>
      </c:lineChart>
      <c:catAx>
        <c:axId val="126596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1366927"/>
        <c:crosses val="autoZero"/>
        <c:auto val="1"/>
        <c:lblAlgn val="ctr"/>
        <c:lblOffset val="100"/>
        <c:noMultiLvlLbl val="0"/>
      </c:catAx>
      <c:valAx>
        <c:axId val="1261366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REVENUE</a:t>
                </a:r>
              </a:p>
            </c:rich>
          </c:tx>
          <c:layout>
            <c:manualLayout>
              <c:xMode val="edge"/>
              <c:yMode val="edge"/>
              <c:x val="3.0555555555555555E-2"/>
              <c:y val="0.380362715077282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596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[main_downstream_data.xlsx]Customer_Analysis!PivotTable4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ANALYSIS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781C89-4D1D-4F26-A89D-291AB9015345}" type="PERCENTAGE">
                  <a:rPr lang="en-US" b="1">
                    <a:solidFill>
                      <a:schemeClr val="tx1"/>
                    </a:solidFill>
                  </a:rPr>
                  <a:pPr>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EDB269-B0E6-47A9-B76C-A6EBAEEAF9D9}" type="PERCENTAGE">
                  <a:rPr lang="en-US" b="1">
                    <a:solidFill>
                      <a:schemeClr val="tx1"/>
                    </a:solidFill>
                  </a:rPr>
                  <a:pPr>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Customer_Analysis!$B$3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9BD-4149-B853-4365236F7B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BD-4149-B853-4365236F7B6A}"/>
              </c:ext>
            </c:extLst>
          </c:dPt>
          <c:dLbls>
            <c:dLbl>
              <c:idx val="0"/>
              <c:tx>
                <c:rich>
                  <a:bodyPr/>
                  <a:lstStyle/>
                  <a:p>
                    <a:fld id="{A0781C89-4D1D-4F26-A89D-291AB9015345}" type="PERCENTAGE">
                      <a:rPr lang="en-US" b="1">
                        <a:solidFill>
                          <a:schemeClr val="tx1"/>
                        </a:solidFill>
                      </a:rPr>
                      <a:pPr/>
                      <a:t>[PERCENTAGE]</a:t>
                    </a:fld>
                    <a:endParaRPr lang="en-NG"/>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9BD-4149-B853-4365236F7B6A}"/>
                </c:ext>
              </c:extLst>
            </c:dLbl>
            <c:dLbl>
              <c:idx val="1"/>
              <c:tx>
                <c:rich>
                  <a:bodyPr/>
                  <a:lstStyle/>
                  <a:p>
                    <a:fld id="{1CEDB269-B0E6-47A9-B76C-A6EBAEEAF9D9}" type="PERCENTAGE">
                      <a:rPr lang="en-US" b="1">
                        <a:solidFill>
                          <a:schemeClr val="tx1"/>
                        </a:solidFill>
                      </a:rPr>
                      <a:pPr/>
                      <a:t>[PERCENTAGE]</a:t>
                    </a:fld>
                    <a:endParaRPr lang="en-NG"/>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BD-4149-B853-4365236F7B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showLeaderLines val="0"/>
            <c:extLst>
              <c:ext xmlns:c15="http://schemas.microsoft.com/office/drawing/2012/chart" uri="{CE6537A1-D6FC-4f65-9D91-7224C49458BB}"/>
            </c:extLst>
          </c:dLbls>
          <c:cat>
            <c:strRef>
              <c:f>Customer_Analysis!$A$4:$A$6</c:f>
              <c:strCache>
                <c:ptCount val="2"/>
                <c:pt idx="0">
                  <c:v>Bulk</c:v>
                </c:pt>
                <c:pt idx="1">
                  <c:v>Retail</c:v>
                </c:pt>
              </c:strCache>
            </c:strRef>
          </c:cat>
          <c:val>
            <c:numRef>
              <c:f>Customer_Analysis!$B$4:$B$6</c:f>
              <c:numCache>
                <c:formatCode>General</c:formatCode>
                <c:ptCount val="2"/>
                <c:pt idx="0">
                  <c:v>22322657</c:v>
                </c:pt>
                <c:pt idx="1">
                  <c:v>22093550</c:v>
                </c:pt>
              </c:numCache>
            </c:numRef>
          </c:val>
          <c:extLst>
            <c:ext xmlns:c16="http://schemas.microsoft.com/office/drawing/2014/chart" uri="{C3380CC4-5D6E-409C-BE32-E72D297353CC}">
              <c16:uniqueId val="{00000000-E9BD-4149-B853-4365236F7B6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[main_downstream_data.xlsx]Product_Performance!PivotTable1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REVENUE</a:t>
            </a:r>
            <a:r>
              <a:rPr lang="en-GB" b="1" baseline="0">
                <a:solidFill>
                  <a:schemeClr val="tx1"/>
                </a:solidFill>
              </a:rPr>
              <a:t> BY PRODUCT</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Product_Performance!$B$3</c:f>
              <c:strCache>
                <c:ptCount val="1"/>
                <c:pt idx="0">
                  <c:v>Sum of Gross_Margin</c:v>
                </c:pt>
              </c:strCache>
            </c:strRef>
          </c:tx>
          <c:spPr>
            <a:solidFill>
              <a:schemeClr val="accent1"/>
            </a:solidFill>
            <a:ln>
              <a:noFill/>
            </a:ln>
            <a:effectLst/>
          </c:spPr>
          <c:invertIfNegative val="0"/>
          <c:cat>
            <c:strRef>
              <c:f>Product_Performance!$A$4:$A$7</c:f>
              <c:strCache>
                <c:ptCount val="3"/>
                <c:pt idx="0">
                  <c:v>AGO</c:v>
                </c:pt>
                <c:pt idx="1">
                  <c:v>DPK</c:v>
                </c:pt>
                <c:pt idx="2">
                  <c:v>PMS</c:v>
                </c:pt>
              </c:strCache>
            </c:strRef>
          </c:cat>
          <c:val>
            <c:numRef>
              <c:f>Product_Performance!$B$4:$B$7</c:f>
              <c:numCache>
                <c:formatCode>"₦"#,##0</c:formatCode>
                <c:ptCount val="3"/>
                <c:pt idx="0">
                  <c:v>803053764</c:v>
                </c:pt>
                <c:pt idx="1">
                  <c:v>828498971</c:v>
                </c:pt>
                <c:pt idx="2">
                  <c:v>824310389</c:v>
                </c:pt>
              </c:numCache>
            </c:numRef>
          </c:val>
          <c:extLst>
            <c:ext xmlns:c16="http://schemas.microsoft.com/office/drawing/2014/chart" uri="{C3380CC4-5D6E-409C-BE32-E72D297353CC}">
              <c16:uniqueId val="{00000000-7B97-4752-A6BA-043A9CAEA548}"/>
            </c:ext>
          </c:extLst>
        </c:ser>
        <c:ser>
          <c:idx val="1"/>
          <c:order val="1"/>
          <c:tx>
            <c:strRef>
              <c:f>Product_Performance!$C$3</c:f>
              <c:strCache>
                <c:ptCount val="1"/>
                <c:pt idx="0">
                  <c:v>Sum of Total_Revenue</c:v>
                </c:pt>
              </c:strCache>
            </c:strRef>
          </c:tx>
          <c:spPr>
            <a:solidFill>
              <a:schemeClr val="accent2"/>
            </a:solidFill>
            <a:ln>
              <a:noFill/>
            </a:ln>
            <a:effectLst/>
          </c:spPr>
          <c:invertIfNegative val="0"/>
          <c:cat>
            <c:strRef>
              <c:f>Product_Performance!$A$4:$A$7</c:f>
              <c:strCache>
                <c:ptCount val="3"/>
                <c:pt idx="0">
                  <c:v>AGO</c:v>
                </c:pt>
                <c:pt idx="1">
                  <c:v>DPK</c:v>
                </c:pt>
                <c:pt idx="2">
                  <c:v>PMS</c:v>
                </c:pt>
              </c:strCache>
            </c:strRef>
          </c:cat>
          <c:val>
            <c:numRef>
              <c:f>Product_Performance!$C$4:$C$7</c:f>
              <c:numCache>
                <c:formatCode>"₦"#,##0</c:formatCode>
                <c:ptCount val="3"/>
                <c:pt idx="0">
                  <c:v>12228194739</c:v>
                </c:pt>
                <c:pt idx="1">
                  <c:v>8061437093</c:v>
                </c:pt>
                <c:pt idx="2">
                  <c:v>9663695798</c:v>
                </c:pt>
              </c:numCache>
            </c:numRef>
          </c:val>
          <c:extLst>
            <c:ext xmlns:c16="http://schemas.microsoft.com/office/drawing/2014/chart" uri="{C3380CC4-5D6E-409C-BE32-E72D297353CC}">
              <c16:uniqueId val="{00000001-7B97-4752-A6BA-043A9CAEA548}"/>
            </c:ext>
          </c:extLst>
        </c:ser>
        <c:dLbls>
          <c:showLegendKey val="0"/>
          <c:showVal val="0"/>
          <c:showCatName val="0"/>
          <c:showSerName val="0"/>
          <c:showPercent val="0"/>
          <c:showBubbleSize val="0"/>
        </c:dLbls>
        <c:gapWidth val="219"/>
        <c:overlap val="-27"/>
        <c:axId val="1257392351"/>
        <c:axId val="1257390271"/>
      </c:barChart>
      <c:catAx>
        <c:axId val="125739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PRODUCT</a:t>
                </a:r>
              </a:p>
            </c:rich>
          </c:tx>
          <c:layout>
            <c:manualLayout>
              <c:xMode val="edge"/>
              <c:yMode val="edge"/>
              <c:x val="0.37274092278506255"/>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57390271"/>
        <c:crosses val="autoZero"/>
        <c:auto val="1"/>
        <c:lblAlgn val="ctr"/>
        <c:lblOffset val="100"/>
        <c:noMultiLvlLbl val="0"/>
      </c:catAx>
      <c:valAx>
        <c:axId val="1257390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TOTAL</a:t>
                </a:r>
                <a:r>
                  <a:rPr lang="en-GB" b="1" baseline="0">
                    <a:solidFill>
                      <a:schemeClr val="tx1"/>
                    </a:solidFill>
                  </a:rPr>
                  <a:t> REVENUE</a:t>
                </a:r>
                <a:endParaRPr lang="en-GB" b="1">
                  <a:solidFill>
                    <a:schemeClr val="tx1"/>
                  </a:solidFill>
                </a:endParaRPr>
              </a:p>
            </c:rich>
          </c:tx>
          <c:layout>
            <c:manualLayout>
              <c:xMode val="edge"/>
              <c:yMode val="edge"/>
              <c:x val="3.0116358658453114E-2"/>
              <c:y val="0.276473826188393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5739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[main_downstream_data.xlsx]Depot_Performance!PivotTable2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DEPOT</a:t>
            </a:r>
            <a:r>
              <a:rPr lang="en-GB" b="1" baseline="0">
                <a:solidFill>
                  <a:schemeClr val="tx1"/>
                </a:solidFill>
              </a:rPr>
              <a:t> PERFORMANCE</a:t>
            </a:r>
            <a:r>
              <a:rPr lang="en-GB" b="1">
                <a:solidFill>
                  <a:schemeClr val="tx1"/>
                </a:solidFill>
              </a:rPr>
              <a:t> </a:t>
            </a:r>
          </a:p>
        </c:rich>
      </c:tx>
      <c:layout>
        <c:manualLayout>
          <c:xMode val="edge"/>
          <c:yMode val="edge"/>
          <c:x val="0.35814719707506409"/>
          <c:y val="2.15924395857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703286519708952"/>
          <c:y val="5.6875082395522483E-2"/>
          <c:w val="0.50476566283428692"/>
          <c:h val="0.76861515598221442"/>
        </c:manualLayout>
      </c:layout>
      <c:bar3DChart>
        <c:barDir val="bar"/>
        <c:grouping val="clustered"/>
        <c:varyColors val="0"/>
        <c:ser>
          <c:idx val="0"/>
          <c:order val="0"/>
          <c:tx>
            <c:strRef>
              <c:f>Depot_Performance!$B$3</c:f>
              <c:strCache>
                <c:ptCount val="1"/>
                <c:pt idx="0">
                  <c:v>Sum of Total_Revenue</c:v>
                </c:pt>
              </c:strCache>
            </c:strRef>
          </c:tx>
          <c:spPr>
            <a:solidFill>
              <a:schemeClr val="accent1"/>
            </a:solidFill>
            <a:ln>
              <a:noFill/>
            </a:ln>
            <a:effectLst/>
            <a:sp3d/>
          </c:spPr>
          <c:invertIfNegative val="0"/>
          <c:cat>
            <c:strRef>
              <c:f>Depot_Performance!$A$4:$A$7</c:f>
              <c:strCache>
                <c:ptCount val="3"/>
                <c:pt idx="0">
                  <c:v>Lagos</c:v>
                </c:pt>
                <c:pt idx="1">
                  <c:v>Port Harcourt</c:v>
                </c:pt>
                <c:pt idx="2">
                  <c:v>Warri</c:v>
                </c:pt>
              </c:strCache>
            </c:strRef>
          </c:cat>
          <c:val>
            <c:numRef>
              <c:f>Depot_Performance!$B$4:$B$7</c:f>
              <c:numCache>
                <c:formatCode>"₦"#,##0</c:formatCode>
                <c:ptCount val="3"/>
                <c:pt idx="0">
                  <c:v>10014129260</c:v>
                </c:pt>
                <c:pt idx="1">
                  <c:v>9801549843</c:v>
                </c:pt>
                <c:pt idx="2">
                  <c:v>10137648527</c:v>
                </c:pt>
              </c:numCache>
            </c:numRef>
          </c:val>
          <c:extLst>
            <c:ext xmlns:c16="http://schemas.microsoft.com/office/drawing/2014/chart" uri="{C3380CC4-5D6E-409C-BE32-E72D297353CC}">
              <c16:uniqueId val="{00000000-0780-4565-B5AC-4B132DB76804}"/>
            </c:ext>
          </c:extLst>
        </c:ser>
        <c:ser>
          <c:idx val="1"/>
          <c:order val="1"/>
          <c:tx>
            <c:strRef>
              <c:f>Depot_Performance!$C$3</c:f>
              <c:strCache>
                <c:ptCount val="1"/>
                <c:pt idx="0">
                  <c:v>Sum of Gross_Margin</c:v>
                </c:pt>
              </c:strCache>
            </c:strRef>
          </c:tx>
          <c:spPr>
            <a:solidFill>
              <a:schemeClr val="accent2"/>
            </a:solidFill>
            <a:ln>
              <a:noFill/>
            </a:ln>
            <a:effectLst/>
            <a:sp3d/>
          </c:spPr>
          <c:invertIfNegative val="0"/>
          <c:cat>
            <c:strRef>
              <c:f>Depot_Performance!$A$4:$A$7</c:f>
              <c:strCache>
                <c:ptCount val="3"/>
                <c:pt idx="0">
                  <c:v>Lagos</c:v>
                </c:pt>
                <c:pt idx="1">
                  <c:v>Port Harcourt</c:v>
                </c:pt>
                <c:pt idx="2">
                  <c:v>Warri</c:v>
                </c:pt>
              </c:strCache>
            </c:strRef>
          </c:cat>
          <c:val>
            <c:numRef>
              <c:f>Depot_Performance!$C$4:$C$7</c:f>
              <c:numCache>
                <c:formatCode>"₦"#,##0</c:formatCode>
                <c:ptCount val="3"/>
                <c:pt idx="0">
                  <c:v>803488043</c:v>
                </c:pt>
                <c:pt idx="1">
                  <c:v>834075972</c:v>
                </c:pt>
                <c:pt idx="2">
                  <c:v>818299109</c:v>
                </c:pt>
              </c:numCache>
            </c:numRef>
          </c:val>
          <c:extLst>
            <c:ext xmlns:c16="http://schemas.microsoft.com/office/drawing/2014/chart" uri="{C3380CC4-5D6E-409C-BE32-E72D297353CC}">
              <c16:uniqueId val="{00000001-0780-4565-B5AC-4B132DB76804}"/>
            </c:ext>
          </c:extLst>
        </c:ser>
        <c:dLbls>
          <c:showLegendKey val="0"/>
          <c:showVal val="0"/>
          <c:showCatName val="0"/>
          <c:showSerName val="0"/>
          <c:showPercent val="0"/>
          <c:showBubbleSize val="0"/>
        </c:dLbls>
        <c:gapWidth val="150"/>
        <c:shape val="box"/>
        <c:axId val="1145851775"/>
        <c:axId val="1145853855"/>
        <c:axId val="0"/>
      </c:bar3DChart>
      <c:catAx>
        <c:axId val="1145851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DEPOTS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45853855"/>
        <c:crosses val="autoZero"/>
        <c:auto val="1"/>
        <c:lblAlgn val="ctr"/>
        <c:lblOffset val="100"/>
        <c:noMultiLvlLbl val="0"/>
      </c:catAx>
      <c:valAx>
        <c:axId val="1145853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4585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[main_downstream_data.xlsx]Monthly_Trends!PivotTable3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a:t>
            </a:r>
            <a:r>
              <a:rPr lang="en-US" b="1" baseline="0">
                <a:solidFill>
                  <a:schemeClr val="tx1"/>
                </a:solidFill>
              </a:rPr>
              <a:t> 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06684842464684"/>
          <c:y val="0.17171296296296298"/>
          <c:w val="0.73609755733516014"/>
          <c:h val="0.62271617089530473"/>
        </c:manualLayout>
      </c:layout>
      <c:lineChart>
        <c:grouping val="standard"/>
        <c:varyColors val="0"/>
        <c:ser>
          <c:idx val="0"/>
          <c:order val="0"/>
          <c:tx>
            <c:strRef>
              <c:f>Monthly_Trends!$B$3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Monthly_Trends!$A$4:$A$7</c:f>
              <c:strCache>
                <c:ptCount val="3"/>
                <c:pt idx="0">
                  <c:v>Oct</c:v>
                </c:pt>
                <c:pt idx="1">
                  <c:v>Nov</c:v>
                </c:pt>
                <c:pt idx="2">
                  <c:v>Dec</c:v>
                </c:pt>
              </c:strCache>
            </c:strRef>
          </c:cat>
          <c:val>
            <c:numRef>
              <c:f>Monthly_Trends!$B$4:$B$7</c:f>
              <c:numCache>
                <c:formatCode>"₦"#,##0</c:formatCode>
                <c:ptCount val="3"/>
                <c:pt idx="0">
                  <c:v>9943305491</c:v>
                </c:pt>
                <c:pt idx="1">
                  <c:v>10006464101</c:v>
                </c:pt>
                <c:pt idx="2">
                  <c:v>10003558038</c:v>
                </c:pt>
              </c:numCache>
            </c:numRef>
          </c:val>
          <c:smooth val="0"/>
          <c:extLst>
            <c:ext xmlns:c16="http://schemas.microsoft.com/office/drawing/2014/chart" uri="{C3380CC4-5D6E-409C-BE32-E72D297353CC}">
              <c16:uniqueId val="{00000000-8F06-4E3F-92E8-786CF0BED660}"/>
            </c:ext>
          </c:extLst>
        </c:ser>
        <c:dLbls>
          <c:showLegendKey val="0"/>
          <c:showVal val="0"/>
          <c:showCatName val="0"/>
          <c:showSerName val="0"/>
          <c:showPercent val="0"/>
          <c:showBubbleSize val="0"/>
        </c:dLbls>
        <c:marker val="1"/>
        <c:smooth val="0"/>
        <c:axId val="1265967583"/>
        <c:axId val="1261366927"/>
      </c:lineChart>
      <c:catAx>
        <c:axId val="126596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1366927"/>
        <c:crosses val="autoZero"/>
        <c:auto val="1"/>
        <c:lblAlgn val="ctr"/>
        <c:lblOffset val="100"/>
        <c:noMultiLvlLbl val="0"/>
      </c:catAx>
      <c:valAx>
        <c:axId val="1261366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solidFill>
                  </a:rPr>
                  <a:t>REVENUE</a:t>
                </a:r>
              </a:p>
            </c:rich>
          </c:tx>
          <c:layout>
            <c:manualLayout>
              <c:xMode val="edge"/>
              <c:yMode val="edge"/>
              <c:x val="3.0555555555555555E-2"/>
              <c:y val="0.380362715077282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596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[main_downstream_data.xlsx]Customer_Analysis!PivotTable4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ANALYSIS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781C89-4D1D-4F26-A89D-291AB9015345}" type="PERCENTAG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EDB269-B0E6-47A9-B76C-A6EBAEEAF9D9}" type="PERCENTAG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781C89-4D1D-4F26-A89D-291AB9015345}" type="PERCENTAG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EDB269-B0E6-47A9-B76C-A6EBAEEAF9D9}" type="PERCENTAG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781C89-4D1D-4F26-A89D-291AB9015345}" type="PERCENTAGE">
                  <a:rPr lang="en-US" b="1">
                    <a:solidFill>
                      <a:schemeClr val="tx1"/>
                    </a:solidFill>
                  </a:rPr>
                  <a:pPr>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EDB269-B0E6-47A9-B76C-A6EBAEEAF9D9}" type="PERCENTAGE">
                  <a:rPr lang="en-US" b="1">
                    <a:solidFill>
                      <a:schemeClr val="tx1"/>
                    </a:solidFill>
                  </a:rPr>
                  <a:pPr>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Customer_Analysis!$B$3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F0-4211-9FA5-34A0B9C296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F0-4211-9FA5-34A0B9C2964D}"/>
              </c:ext>
            </c:extLst>
          </c:dPt>
          <c:dLbls>
            <c:dLbl>
              <c:idx val="0"/>
              <c:tx>
                <c:rich>
                  <a:bodyPr/>
                  <a:lstStyle/>
                  <a:p>
                    <a:fld id="{A0781C89-4D1D-4F26-A89D-291AB9015345}" type="PERCENTAGE">
                      <a:rPr lang="en-US" b="1">
                        <a:solidFill>
                          <a:schemeClr val="tx1"/>
                        </a:solidFill>
                      </a:rPr>
                      <a:pPr/>
                      <a:t>[PERCENTAGE]</a:t>
                    </a:fld>
                    <a:endParaRPr lang="en-NG"/>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EF0-4211-9FA5-34A0B9C2964D}"/>
                </c:ext>
              </c:extLst>
            </c:dLbl>
            <c:dLbl>
              <c:idx val="1"/>
              <c:tx>
                <c:rich>
                  <a:bodyPr/>
                  <a:lstStyle/>
                  <a:p>
                    <a:fld id="{1CEDB269-B0E6-47A9-B76C-A6EBAEEAF9D9}" type="PERCENTAGE">
                      <a:rPr lang="en-US" b="1">
                        <a:solidFill>
                          <a:schemeClr val="tx1"/>
                        </a:solidFill>
                      </a:rPr>
                      <a:pPr/>
                      <a:t>[PERCENTAGE]</a:t>
                    </a:fld>
                    <a:endParaRPr lang="en-NG"/>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EF0-4211-9FA5-34A0B9C296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showLeaderLines val="0"/>
            <c:extLst>
              <c:ext xmlns:c15="http://schemas.microsoft.com/office/drawing/2012/chart" uri="{CE6537A1-D6FC-4f65-9D91-7224C49458BB}"/>
            </c:extLst>
          </c:dLbls>
          <c:cat>
            <c:strRef>
              <c:f>Customer_Analysis!$A$4:$A$6</c:f>
              <c:strCache>
                <c:ptCount val="2"/>
                <c:pt idx="0">
                  <c:v>Bulk</c:v>
                </c:pt>
                <c:pt idx="1">
                  <c:v>Retail</c:v>
                </c:pt>
              </c:strCache>
            </c:strRef>
          </c:cat>
          <c:val>
            <c:numRef>
              <c:f>Customer_Analysis!$B$4:$B$6</c:f>
              <c:numCache>
                <c:formatCode>General</c:formatCode>
                <c:ptCount val="2"/>
                <c:pt idx="0">
                  <c:v>22322657</c:v>
                </c:pt>
                <c:pt idx="1">
                  <c:v>22093550</c:v>
                </c:pt>
              </c:numCache>
            </c:numRef>
          </c:val>
          <c:extLst>
            <c:ext xmlns:c16="http://schemas.microsoft.com/office/drawing/2014/chart" uri="{C3380CC4-5D6E-409C-BE32-E72D297353CC}">
              <c16:uniqueId val="{00000004-EEF0-4211-9FA5-34A0B9C2964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133350</xdr:colOff>
      <xdr:row>2</xdr:row>
      <xdr:rowOff>138112</xdr:rowOff>
    </xdr:from>
    <xdr:to>
      <xdr:col>9</xdr:col>
      <xdr:colOff>314325</xdr:colOff>
      <xdr:row>17</xdr:row>
      <xdr:rowOff>23812</xdr:rowOff>
    </xdr:to>
    <xdr:graphicFrame macro="">
      <xdr:nvGraphicFramePr>
        <xdr:cNvPr id="2" name="Chart 1">
          <a:extLst>
            <a:ext uri="{FF2B5EF4-FFF2-40B4-BE49-F238E27FC236}">
              <a16:creationId xmlns:a16="http://schemas.microsoft.com/office/drawing/2014/main" id="{5FAB1C4E-9AF5-577D-30EE-A16A69863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1381125</xdr:colOff>
      <xdr:row>1</xdr:row>
      <xdr:rowOff>161925</xdr:rowOff>
    </xdr:from>
    <xdr:to>
      <xdr:col>6</xdr:col>
      <xdr:colOff>581025</xdr:colOff>
      <xdr:row>15</xdr:row>
      <xdr:rowOff>19050</xdr:rowOff>
    </xdr:to>
    <mc:AlternateContent xmlns:mc="http://schemas.openxmlformats.org/markup-compatibility/2006">
      <mc:Choice xmlns:a14="http://schemas.microsoft.com/office/drawing/2010/main" Requires="a14">
        <xdr:graphicFrame macro="">
          <xdr:nvGraphicFramePr>
            <xdr:cNvPr id="3" name="Depot">
              <a:extLst>
                <a:ext uri="{FF2B5EF4-FFF2-40B4-BE49-F238E27FC236}">
                  <a16:creationId xmlns:a16="http://schemas.microsoft.com/office/drawing/2014/main" id="{33FFB620-292B-9865-20C3-9A5B91FB9C12}"/>
                </a:ext>
              </a:extLst>
            </xdr:cNvPr>
            <xdr:cNvGraphicFramePr/>
          </xdr:nvGraphicFramePr>
          <xdr:xfrm>
            <a:off x="0" y="0"/>
            <a:ext cx="0" cy="0"/>
          </xdr:xfrm>
          <a:graphic>
            <a:graphicData uri="http://schemas.microsoft.com/office/drawing/2010/slicer">
              <sle:slicer xmlns:sle="http://schemas.microsoft.com/office/drawing/2010/slicer" name="Depot"/>
            </a:graphicData>
          </a:graphic>
        </xdr:graphicFrame>
      </mc:Choice>
      <mc:Fallback>
        <xdr:sp macro="" textlink="">
          <xdr:nvSpPr>
            <xdr:cNvPr id="0" name=""/>
            <xdr:cNvSpPr>
              <a:spLocks noTextEdit="1"/>
            </xdr:cNvSpPr>
          </xdr:nvSpPr>
          <xdr:spPr>
            <a:xfrm>
              <a:off x="5010150" y="352425"/>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447675</xdr:colOff>
      <xdr:row>4</xdr:row>
      <xdr:rowOff>66675</xdr:rowOff>
    </xdr:from>
    <xdr:to>
      <xdr:col>7</xdr:col>
      <xdr:colOff>447675</xdr:colOff>
      <xdr:row>17</xdr:row>
      <xdr:rowOff>114300</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BE774861-777A-D511-46EA-50695DC309E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486400" y="828675"/>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581025</xdr:colOff>
      <xdr:row>3</xdr:row>
      <xdr:rowOff>85726</xdr:rowOff>
    </xdr:from>
    <xdr:to>
      <xdr:col>11</xdr:col>
      <xdr:colOff>581025</xdr:colOff>
      <xdr:row>9</xdr:row>
      <xdr:rowOff>66676</xdr:rowOff>
    </xdr:to>
    <mc:AlternateContent xmlns:mc="http://schemas.openxmlformats.org/markup-compatibility/2006">
      <mc:Choice xmlns:a14="http://schemas.microsoft.com/office/drawing/2010/main" Requires="a14">
        <xdr:graphicFrame macro="">
          <xdr:nvGraphicFramePr>
            <xdr:cNvPr id="5" name="Months">
              <a:extLst>
                <a:ext uri="{FF2B5EF4-FFF2-40B4-BE49-F238E27FC236}">
                  <a16:creationId xmlns:a16="http://schemas.microsoft.com/office/drawing/2014/main" id="{1ECC9416-9081-F918-1F1B-5DACD8082C6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8058150" y="657226"/>
              <a:ext cx="1828800" cy="11239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1081087</xdr:colOff>
      <xdr:row>8</xdr:row>
      <xdr:rowOff>42862</xdr:rowOff>
    </xdr:from>
    <xdr:to>
      <xdr:col>8</xdr:col>
      <xdr:colOff>466725</xdr:colOff>
      <xdr:row>26</xdr:row>
      <xdr:rowOff>142875</xdr:rowOff>
    </xdr:to>
    <xdr:graphicFrame macro="">
      <xdr:nvGraphicFramePr>
        <xdr:cNvPr id="2" name="Chart 1">
          <a:extLst>
            <a:ext uri="{FF2B5EF4-FFF2-40B4-BE49-F238E27FC236}">
              <a16:creationId xmlns:a16="http://schemas.microsoft.com/office/drawing/2014/main" id="{E098FBC2-7B0C-4F05-754B-35A00F0E3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157162</xdr:colOff>
      <xdr:row>3</xdr:row>
      <xdr:rowOff>109537</xdr:rowOff>
    </xdr:from>
    <xdr:to>
      <xdr:col>9</xdr:col>
      <xdr:colOff>461962</xdr:colOff>
      <xdr:row>17</xdr:row>
      <xdr:rowOff>185737</xdr:rowOff>
    </xdr:to>
    <xdr:graphicFrame macro="">
      <xdr:nvGraphicFramePr>
        <xdr:cNvPr id="2" name="Chart 1">
          <a:extLst>
            <a:ext uri="{FF2B5EF4-FFF2-40B4-BE49-F238E27FC236}">
              <a16:creationId xmlns:a16="http://schemas.microsoft.com/office/drawing/2014/main" id="{002EC0E4-4283-A777-EE9B-06CE53E23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61912</xdr:colOff>
      <xdr:row>3</xdr:row>
      <xdr:rowOff>52387</xdr:rowOff>
    </xdr:from>
    <xdr:to>
      <xdr:col>11</xdr:col>
      <xdr:colOff>366712</xdr:colOff>
      <xdr:row>17</xdr:row>
      <xdr:rowOff>128587</xdr:rowOff>
    </xdr:to>
    <xdr:graphicFrame macro="">
      <xdr:nvGraphicFramePr>
        <xdr:cNvPr id="3" name="Chart 2">
          <a:extLst>
            <a:ext uri="{FF2B5EF4-FFF2-40B4-BE49-F238E27FC236}">
              <a16:creationId xmlns:a16="http://schemas.microsoft.com/office/drawing/2014/main" id="{B3DE2542-43AE-E75F-5075-C600E64CF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1</xdr:row>
      <xdr:rowOff>133350</xdr:rowOff>
    </xdr:from>
    <xdr:to>
      <xdr:col>5</xdr:col>
      <xdr:colOff>571500</xdr:colOff>
      <xdr:row>5</xdr:row>
      <xdr:rowOff>85725</xdr:rowOff>
    </xdr:to>
    <xdr:sp macro="" textlink="KPI_PVT!D4">
      <xdr:nvSpPr>
        <xdr:cNvPr id="3" name="Rectangle: Rounded Corners 2">
          <a:extLst>
            <a:ext uri="{FF2B5EF4-FFF2-40B4-BE49-F238E27FC236}">
              <a16:creationId xmlns:a16="http://schemas.microsoft.com/office/drawing/2014/main" id="{D64F9CE8-B273-4F8D-6E08-8E014CC390F9}"/>
            </a:ext>
          </a:extLst>
        </xdr:cNvPr>
        <xdr:cNvSpPr/>
      </xdr:nvSpPr>
      <xdr:spPr>
        <a:xfrm>
          <a:off x="1476375" y="533400"/>
          <a:ext cx="2143125" cy="714375"/>
        </a:xfrm>
        <a:prstGeom prst="round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506A620-A469-4876-8D15-371E5E3B3131}" type="TxLink">
            <a:rPr lang="en-US" sz="1200" b="1" i="0" u="none" strike="noStrike">
              <a:solidFill>
                <a:srgbClr val="000000"/>
              </a:solidFill>
              <a:latin typeface="Calibri"/>
              <a:ea typeface="Calibri"/>
              <a:cs typeface="Calibri"/>
            </a:rPr>
            <a:t>TOTAL REVENUE
₦29,953,327,630</a:t>
          </a:fld>
          <a:endParaRPr lang="en-NG" sz="1600" b="1"/>
        </a:p>
      </xdr:txBody>
    </xdr:sp>
    <xdr:clientData/>
  </xdr:twoCellAnchor>
  <xdr:twoCellAnchor>
    <xdr:from>
      <xdr:col>6</xdr:col>
      <xdr:colOff>95250</xdr:colOff>
      <xdr:row>1</xdr:row>
      <xdr:rowOff>114300</xdr:rowOff>
    </xdr:from>
    <xdr:to>
      <xdr:col>9</xdr:col>
      <xdr:colOff>247650</xdr:colOff>
      <xdr:row>5</xdr:row>
      <xdr:rowOff>76200</xdr:rowOff>
    </xdr:to>
    <xdr:sp macro="" textlink="KPI_PVT!D7">
      <xdr:nvSpPr>
        <xdr:cNvPr id="4" name="Rectangle: Rounded Corners 3">
          <a:extLst>
            <a:ext uri="{FF2B5EF4-FFF2-40B4-BE49-F238E27FC236}">
              <a16:creationId xmlns:a16="http://schemas.microsoft.com/office/drawing/2014/main" id="{D96686A3-26EC-430C-B0BA-586DFFC994AE}"/>
            </a:ext>
          </a:extLst>
        </xdr:cNvPr>
        <xdr:cNvSpPr/>
      </xdr:nvSpPr>
      <xdr:spPr>
        <a:xfrm>
          <a:off x="3752850" y="514350"/>
          <a:ext cx="1981200" cy="723900"/>
        </a:xfrm>
        <a:prstGeom prst="round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E0A98EB-8BE7-4839-B10A-7759AE4318B4}" type="TxLink">
            <a:rPr lang="en-US" sz="1200" b="1" i="0" u="none" strike="noStrike">
              <a:solidFill>
                <a:srgbClr val="000000"/>
              </a:solidFill>
              <a:latin typeface="Calibri"/>
              <a:ea typeface="Calibri"/>
              <a:cs typeface="Calibri"/>
            </a:rPr>
            <a:t>TOTAL VOLUME 
44,416,207L</a:t>
          </a:fld>
          <a:endParaRPr lang="en-NG" sz="1200" b="1"/>
        </a:p>
      </xdr:txBody>
    </xdr:sp>
    <xdr:clientData/>
  </xdr:twoCellAnchor>
  <xdr:twoCellAnchor>
    <xdr:from>
      <xdr:col>9</xdr:col>
      <xdr:colOff>390524</xdr:colOff>
      <xdr:row>1</xdr:row>
      <xdr:rowOff>85725</xdr:rowOff>
    </xdr:from>
    <xdr:to>
      <xdr:col>12</xdr:col>
      <xdr:colOff>400049</xdr:colOff>
      <xdr:row>5</xdr:row>
      <xdr:rowOff>95251</xdr:rowOff>
    </xdr:to>
    <xdr:sp macro="" textlink="KPI_PVT!D10">
      <xdr:nvSpPr>
        <xdr:cNvPr id="6" name="Rectangle: Rounded Corners 5">
          <a:extLst>
            <a:ext uri="{FF2B5EF4-FFF2-40B4-BE49-F238E27FC236}">
              <a16:creationId xmlns:a16="http://schemas.microsoft.com/office/drawing/2014/main" id="{5D0F4064-B015-4B87-9B47-ADBB7BA784A7}"/>
            </a:ext>
          </a:extLst>
        </xdr:cNvPr>
        <xdr:cNvSpPr/>
      </xdr:nvSpPr>
      <xdr:spPr>
        <a:xfrm>
          <a:off x="5876924" y="485775"/>
          <a:ext cx="1838325" cy="771526"/>
        </a:xfrm>
        <a:prstGeom prst="round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7A74E09-EC2A-414F-BD3D-FEBB013C7FB4}" type="TxLink">
            <a:rPr lang="en-US" sz="1200" b="1" i="0" u="none" strike="noStrike">
              <a:solidFill>
                <a:srgbClr val="000000"/>
              </a:solidFill>
              <a:latin typeface="Calibri"/>
              <a:ea typeface="Calibri"/>
              <a:cs typeface="Calibri"/>
            </a:rPr>
            <a:t>AVERAGE MARGIN
8.20%</a:t>
          </a:fld>
          <a:endParaRPr lang="en-NG" sz="1200" b="1"/>
        </a:p>
      </xdr:txBody>
    </xdr:sp>
    <xdr:clientData/>
  </xdr:twoCellAnchor>
  <xdr:twoCellAnchor>
    <xdr:from>
      <xdr:col>12</xdr:col>
      <xdr:colOff>600076</xdr:colOff>
      <xdr:row>1</xdr:row>
      <xdr:rowOff>95250</xdr:rowOff>
    </xdr:from>
    <xdr:to>
      <xdr:col>16</xdr:col>
      <xdr:colOff>200025</xdr:colOff>
      <xdr:row>5</xdr:row>
      <xdr:rowOff>66675</xdr:rowOff>
    </xdr:to>
    <xdr:sp macro="" textlink="KPI_PVT!D12">
      <xdr:nvSpPr>
        <xdr:cNvPr id="8" name="Rectangle: Rounded Corners 7">
          <a:extLst>
            <a:ext uri="{FF2B5EF4-FFF2-40B4-BE49-F238E27FC236}">
              <a16:creationId xmlns:a16="http://schemas.microsoft.com/office/drawing/2014/main" id="{B707E81B-74E2-403C-968F-53C2952843C3}"/>
            </a:ext>
          </a:extLst>
        </xdr:cNvPr>
        <xdr:cNvSpPr/>
      </xdr:nvSpPr>
      <xdr:spPr>
        <a:xfrm>
          <a:off x="7915276" y="495300"/>
          <a:ext cx="2038349" cy="733425"/>
        </a:xfrm>
        <a:prstGeom prst="round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80BA76A-38E3-4FDF-A566-1E2BF78A0FE9}" type="TxLink">
            <a:rPr lang="en-US" sz="1200" b="1" i="0" u="none" strike="noStrike">
              <a:solidFill>
                <a:srgbClr val="000000"/>
              </a:solidFill>
              <a:latin typeface="Calibri"/>
              <a:ea typeface="Calibri"/>
              <a:cs typeface="Calibri"/>
            </a:rPr>
            <a:t>TOP PRODUCT
AGO</a:t>
          </a:fld>
          <a:endParaRPr lang="en-NG" sz="1200" b="1"/>
        </a:p>
      </xdr:txBody>
    </xdr:sp>
    <xdr:clientData/>
  </xdr:twoCellAnchor>
  <xdr:twoCellAnchor>
    <xdr:from>
      <xdr:col>16</xdr:col>
      <xdr:colOff>381000</xdr:colOff>
      <xdr:row>1</xdr:row>
      <xdr:rowOff>95251</xdr:rowOff>
    </xdr:from>
    <xdr:to>
      <xdr:col>19</xdr:col>
      <xdr:colOff>419100</xdr:colOff>
      <xdr:row>5</xdr:row>
      <xdr:rowOff>47625</xdr:rowOff>
    </xdr:to>
    <xdr:sp macro="" textlink="KPI_PVT!D19">
      <xdr:nvSpPr>
        <xdr:cNvPr id="10" name="Rectangle: Rounded Corners 9">
          <a:extLst>
            <a:ext uri="{FF2B5EF4-FFF2-40B4-BE49-F238E27FC236}">
              <a16:creationId xmlns:a16="http://schemas.microsoft.com/office/drawing/2014/main" id="{2026C6F0-5185-4509-8F32-BD3ECAF6A590}"/>
            </a:ext>
          </a:extLst>
        </xdr:cNvPr>
        <xdr:cNvSpPr/>
      </xdr:nvSpPr>
      <xdr:spPr>
        <a:xfrm>
          <a:off x="10134600" y="495301"/>
          <a:ext cx="1866900" cy="714374"/>
        </a:xfrm>
        <a:prstGeom prst="round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51AB323-72E4-4BBB-A6BC-4C611301CF2F}" type="TxLink">
            <a:rPr lang="en-US" sz="1200" b="1" i="0" u="none" strike="noStrike">
              <a:solidFill>
                <a:srgbClr val="000000"/>
              </a:solidFill>
              <a:latin typeface="Calibri"/>
              <a:ea typeface="Calibri"/>
              <a:cs typeface="Calibri"/>
            </a:rPr>
            <a:t>TOP DEPOT
Warri</a:t>
          </a:fld>
          <a:endParaRPr lang="en-NG" sz="1200" b="1"/>
        </a:p>
      </xdr:txBody>
    </xdr:sp>
    <xdr:clientData/>
  </xdr:twoCellAnchor>
  <xdr:twoCellAnchor>
    <xdr:from>
      <xdr:col>2</xdr:col>
      <xdr:colOff>285750</xdr:colOff>
      <xdr:row>5</xdr:row>
      <xdr:rowOff>133349</xdr:rowOff>
    </xdr:from>
    <xdr:to>
      <xdr:col>8</xdr:col>
      <xdr:colOff>85726</xdr:colOff>
      <xdr:row>16</xdr:row>
      <xdr:rowOff>161925</xdr:rowOff>
    </xdr:to>
    <xdr:graphicFrame macro="">
      <xdr:nvGraphicFramePr>
        <xdr:cNvPr id="13" name="Chart 12">
          <a:extLst>
            <a:ext uri="{FF2B5EF4-FFF2-40B4-BE49-F238E27FC236}">
              <a16:creationId xmlns:a16="http://schemas.microsoft.com/office/drawing/2014/main" id="{1E347AE2-11B1-4BA1-B91C-D6A073DFC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133350</xdr:colOff>
      <xdr:row>17</xdr:row>
      <xdr:rowOff>57150</xdr:rowOff>
    </xdr:from>
    <xdr:to>
      <xdr:col>11</xdr:col>
      <xdr:colOff>219075</xdr:colOff>
      <xdr:row>31</xdr:row>
      <xdr:rowOff>142875</xdr:rowOff>
    </xdr:to>
    <xdr:graphicFrame macro="">
      <xdr:nvGraphicFramePr>
        <xdr:cNvPr id="15" name="Chart 14">
          <a:extLst>
            <a:ext uri="{FF2B5EF4-FFF2-40B4-BE49-F238E27FC236}">
              <a16:creationId xmlns:a16="http://schemas.microsoft.com/office/drawing/2014/main" id="{968AE218-DCDE-43F5-8BC3-A26E6E3AE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171449</xdr:colOff>
      <xdr:row>5</xdr:row>
      <xdr:rowOff>133350</xdr:rowOff>
    </xdr:from>
    <xdr:to>
      <xdr:col>19</xdr:col>
      <xdr:colOff>476250</xdr:colOff>
      <xdr:row>16</xdr:row>
      <xdr:rowOff>142875</xdr:rowOff>
    </xdr:to>
    <xdr:graphicFrame macro="">
      <xdr:nvGraphicFramePr>
        <xdr:cNvPr id="17" name="Chart 16">
          <a:extLst>
            <a:ext uri="{FF2B5EF4-FFF2-40B4-BE49-F238E27FC236}">
              <a16:creationId xmlns:a16="http://schemas.microsoft.com/office/drawing/2014/main" id="{9D8C3A8E-0DFC-426E-B00F-7D1D4FBA7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428625</xdr:colOff>
      <xdr:row>17</xdr:row>
      <xdr:rowOff>38100</xdr:rowOff>
    </xdr:from>
    <xdr:to>
      <xdr:col>19</xdr:col>
      <xdr:colOff>485775</xdr:colOff>
      <xdr:row>31</xdr:row>
      <xdr:rowOff>114300</xdr:rowOff>
    </xdr:to>
    <xdr:graphicFrame macro="">
      <xdr:nvGraphicFramePr>
        <xdr:cNvPr id="19" name="Chart 18">
          <a:extLst>
            <a:ext uri="{FF2B5EF4-FFF2-40B4-BE49-F238E27FC236}">
              <a16:creationId xmlns:a16="http://schemas.microsoft.com/office/drawing/2014/main" id="{41FCAE7F-C1CD-4BD8-8A1B-DE378E826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19050</xdr:colOff>
      <xdr:row>2</xdr:row>
      <xdr:rowOff>28575</xdr:rowOff>
    </xdr:from>
    <xdr:to>
      <xdr:col>2</xdr:col>
      <xdr:colOff>219075</xdr:colOff>
      <xdr:row>9</xdr:row>
      <xdr:rowOff>0</xdr:rowOff>
    </xdr:to>
    <mc:AlternateContent xmlns:mc="http://schemas.openxmlformats.org/markup-compatibility/2006">
      <mc:Choice xmlns:a14="http://schemas.microsoft.com/office/drawing/2010/main" Requires="a14">
        <xdr:graphicFrame macro="">
          <xdr:nvGraphicFramePr>
            <xdr:cNvPr id="21" name="Product 1">
              <a:extLst>
                <a:ext uri="{FF2B5EF4-FFF2-40B4-BE49-F238E27FC236}">
                  <a16:creationId xmlns:a16="http://schemas.microsoft.com/office/drawing/2014/main" id="{87E73E3F-9ECE-43D3-8759-CA83DF6CF4E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9050" y="622607"/>
              <a:ext cx="1429057" cy="133360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xdr:rowOff>
    </xdr:from>
    <xdr:to>
      <xdr:col>2</xdr:col>
      <xdr:colOff>257175</xdr:colOff>
      <xdr:row>17</xdr:row>
      <xdr:rowOff>57151</xdr:rowOff>
    </xdr:to>
    <mc:AlternateContent xmlns:mc="http://schemas.openxmlformats.org/markup-compatibility/2006">
      <mc:Choice xmlns:a14="http://schemas.microsoft.com/office/drawing/2010/main" Requires="a14">
        <xdr:graphicFrame macro="">
          <xdr:nvGraphicFramePr>
            <xdr:cNvPr id="23" name="Depot 1">
              <a:extLst>
                <a:ext uri="{FF2B5EF4-FFF2-40B4-BE49-F238E27FC236}">
                  <a16:creationId xmlns:a16="http://schemas.microsoft.com/office/drawing/2014/main" id="{17711D3B-9DA4-4046-8192-85880C3677E1}"/>
                </a:ext>
              </a:extLst>
            </xdr:cNvPr>
            <xdr:cNvGraphicFramePr/>
          </xdr:nvGraphicFramePr>
          <xdr:xfrm>
            <a:off x="0" y="0"/>
            <a:ext cx="0" cy="0"/>
          </xdr:xfrm>
          <a:graphic>
            <a:graphicData uri="http://schemas.microsoft.com/office/drawing/2010/slicer">
              <sle:slicer xmlns:sle="http://schemas.microsoft.com/office/drawing/2010/slicer" name="Depot 1"/>
            </a:graphicData>
          </a:graphic>
        </xdr:graphicFrame>
      </mc:Choice>
      <mc:Fallback>
        <xdr:sp macro="" textlink="">
          <xdr:nvSpPr>
            <xdr:cNvPr id="0" name=""/>
            <xdr:cNvSpPr>
              <a:spLocks noTextEdit="1"/>
            </xdr:cNvSpPr>
          </xdr:nvSpPr>
          <xdr:spPr>
            <a:xfrm>
              <a:off x="0" y="2150807"/>
              <a:ext cx="1486207" cy="141932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0</xdr:rowOff>
    </xdr:from>
    <xdr:to>
      <xdr:col>3</xdr:col>
      <xdr:colOff>0</xdr:colOff>
      <xdr:row>23</xdr:row>
      <xdr:rowOff>171450</xdr:rowOff>
    </xdr:to>
    <mc:AlternateContent xmlns:mc="http://schemas.openxmlformats.org/markup-compatibility/2006">
      <mc:Choice xmlns:a14="http://schemas.microsoft.com/office/drawing/2010/main" Requires="a14">
        <xdr:graphicFrame macro="">
          <xdr:nvGraphicFramePr>
            <xdr:cNvPr id="25" name="Months 1">
              <a:extLst>
                <a:ext uri="{FF2B5EF4-FFF2-40B4-BE49-F238E27FC236}">
                  <a16:creationId xmlns:a16="http://schemas.microsoft.com/office/drawing/2014/main" id="{36AA7292-5053-4D9B-8010-966DFC50988D}"/>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0" y="3707581"/>
              <a:ext cx="1843548" cy="114443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529125</xdr:colOff>
      <xdr:row>2</xdr:row>
      <xdr:rowOff>47625</xdr:rowOff>
    </xdr:from>
    <xdr:to>
      <xdr:col>15</xdr:col>
      <xdr:colOff>518703</xdr:colOff>
      <xdr:row>4</xdr:row>
      <xdr:rowOff>123825</xdr:rowOff>
    </xdr:to>
    <xdr:pic>
      <xdr:nvPicPr>
        <xdr:cNvPr id="27" name="Graphic 26" descr="Bar graph with upward trend with solid fill">
          <a:extLst>
            <a:ext uri="{FF2B5EF4-FFF2-40B4-BE49-F238E27FC236}">
              <a16:creationId xmlns:a16="http://schemas.microsoft.com/office/drawing/2014/main" id="{5021372E-8DC0-22FC-5601-5AB10D5A922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rot="10800000">
          <a:off x="9063525" y="638175"/>
          <a:ext cx="599178" cy="457200"/>
        </a:xfrm>
        <a:prstGeom prst="rect">
          <a:avLst/>
        </a:prstGeom>
      </xdr:spPr>
    </xdr:pic>
    <xdr:clientData/>
  </xdr:twoCellAnchor>
  <xdr:twoCellAnchor editAs="oneCell">
    <xdr:from>
      <xdr:col>11</xdr:col>
      <xdr:colOff>209550</xdr:colOff>
      <xdr:row>3</xdr:row>
      <xdr:rowOff>28576</xdr:rowOff>
    </xdr:from>
    <xdr:to>
      <xdr:col>12</xdr:col>
      <xdr:colOff>133350</xdr:colOff>
      <xdr:row>5</xdr:row>
      <xdr:rowOff>66675</xdr:rowOff>
    </xdr:to>
    <xdr:pic>
      <xdr:nvPicPr>
        <xdr:cNvPr id="31" name="Graphic 30" descr="Bar graph with upward trend with solid fill">
          <a:extLst>
            <a:ext uri="{FF2B5EF4-FFF2-40B4-BE49-F238E27FC236}">
              <a16:creationId xmlns:a16="http://schemas.microsoft.com/office/drawing/2014/main" id="{1663D9B5-8F13-4DF4-12BD-3A1E7FC6DD5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915150" y="809626"/>
          <a:ext cx="533400" cy="419099"/>
        </a:xfrm>
        <a:prstGeom prst="rect">
          <a:avLst/>
        </a:prstGeom>
      </xdr:spPr>
    </xdr:pic>
    <xdr:clientData/>
  </xdr:twoCellAnchor>
  <xdr:twoCellAnchor editAs="oneCell">
    <xdr:from>
      <xdr:col>4</xdr:col>
      <xdr:colOff>295275</xdr:colOff>
      <xdr:row>2</xdr:row>
      <xdr:rowOff>47625</xdr:rowOff>
    </xdr:from>
    <xdr:to>
      <xdr:col>5</xdr:col>
      <xdr:colOff>314325</xdr:colOff>
      <xdr:row>5</xdr:row>
      <xdr:rowOff>104775</xdr:rowOff>
    </xdr:to>
    <xdr:pic>
      <xdr:nvPicPr>
        <xdr:cNvPr id="33" name="Graphic 32" descr="Coins with solid fill">
          <a:extLst>
            <a:ext uri="{FF2B5EF4-FFF2-40B4-BE49-F238E27FC236}">
              <a16:creationId xmlns:a16="http://schemas.microsoft.com/office/drawing/2014/main" id="{A599CE0A-46D6-BC2B-36AA-C63270C06D1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733675" y="638175"/>
          <a:ext cx="628650" cy="628650"/>
        </a:xfrm>
        <a:prstGeom prst="rect">
          <a:avLst/>
        </a:prstGeom>
      </xdr:spPr>
    </xdr:pic>
    <xdr:clientData/>
  </xdr:twoCellAnchor>
  <xdr:twoCellAnchor editAs="oneCell">
    <xdr:from>
      <xdr:col>18</xdr:col>
      <xdr:colOff>304800</xdr:colOff>
      <xdr:row>2</xdr:row>
      <xdr:rowOff>9524</xdr:rowOff>
    </xdr:from>
    <xdr:to>
      <xdr:col>19</xdr:col>
      <xdr:colOff>304800</xdr:colOff>
      <xdr:row>5</xdr:row>
      <xdr:rowOff>38099</xdr:rowOff>
    </xdr:to>
    <xdr:pic>
      <xdr:nvPicPr>
        <xdr:cNvPr id="35" name="Graphic 34" descr="Schoolhouse with solid fill">
          <a:extLst>
            <a:ext uri="{FF2B5EF4-FFF2-40B4-BE49-F238E27FC236}">
              <a16:creationId xmlns:a16="http://schemas.microsoft.com/office/drawing/2014/main" id="{CD25F12B-CBBB-45E8-4D60-C2A775B89A1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277600" y="600074"/>
          <a:ext cx="609600" cy="600075"/>
        </a:xfrm>
        <a:prstGeom prst="rect">
          <a:avLst/>
        </a:prstGeom>
      </xdr:spPr>
    </xdr:pic>
    <xdr:clientData/>
  </xdr:twoCellAnchor>
  <xdr:twoCellAnchor editAs="oneCell">
    <xdr:from>
      <xdr:col>8</xdr:col>
      <xdr:colOff>47625</xdr:colOff>
      <xdr:row>2</xdr:row>
      <xdr:rowOff>95250</xdr:rowOff>
    </xdr:from>
    <xdr:to>
      <xdr:col>9</xdr:col>
      <xdr:colOff>0</xdr:colOff>
      <xdr:row>5</xdr:row>
      <xdr:rowOff>85725</xdr:rowOff>
    </xdr:to>
    <xdr:pic>
      <xdr:nvPicPr>
        <xdr:cNvPr id="37" name="Graphic 36" descr="Water with solid fill">
          <a:extLst>
            <a:ext uri="{FF2B5EF4-FFF2-40B4-BE49-F238E27FC236}">
              <a16:creationId xmlns:a16="http://schemas.microsoft.com/office/drawing/2014/main" id="{09021040-16FB-96C3-3E3F-233C24C20AB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924425" y="685800"/>
          <a:ext cx="561975" cy="561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12</xdr:row>
      <xdr:rowOff>0</xdr:rowOff>
    </xdr:from>
    <xdr:to>
      <xdr:col>7</xdr:col>
      <xdr:colOff>304800</xdr:colOff>
      <xdr:row>16</xdr:row>
      <xdr:rowOff>152400</xdr:rowOff>
    </xdr:to>
    <xdr:pic>
      <xdr:nvPicPr>
        <xdr:cNvPr id="2" name="Graphic 1" descr="Bar graph with upward trend with solid fill">
          <a:extLst>
            <a:ext uri="{FF2B5EF4-FFF2-40B4-BE49-F238E27FC236}">
              <a16:creationId xmlns:a16="http://schemas.microsoft.com/office/drawing/2014/main" id="{65DD0950-0E17-4122-AEAB-57CEF8B950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705850" y="30480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E" refreshedDate="46057.473249537034" createdVersion="8" refreshedVersion="8" minRefreshableVersion="3" recordCount="828" xr:uid="{00000000-000A-0000-FFFF-FFFF0A000000}">
  <cacheSource type="worksheet">
    <worksheetSource name="DownstreamSales"/>
  </cacheSource>
  <cacheFields count="13">
    <cacheField name="Date" numFmtId="14">
      <sharedItems containsSemiMixedTypes="0" containsNonDate="0" containsDate="1" containsString="0" minDate="2024-10-01T00:00:00" maxDate="2025-01-01T00:00:00" count="92">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1" base="0">
        <rangePr groupBy="days" startDate="2024-10-01T00:00:00" endDate="2025-01-01T00:00:00"/>
        <groupItems count="368">
          <s v="&lt;01/10/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Depot" numFmtId="0">
      <sharedItems count="3">
        <s v="Lagos"/>
        <s v="Warri"/>
        <s v="Port Harcourt"/>
      </sharedItems>
    </cacheField>
    <cacheField name="Product" numFmtId="0">
      <sharedItems count="3">
        <s v="PMS"/>
        <s v="AGO"/>
        <s v="DPK"/>
      </sharedItems>
    </cacheField>
    <cacheField name="Quantity_Litres" numFmtId="0">
      <sharedItems containsSemiMixedTypes="0" containsString="0" containsNumber="1" containsInteger="1" minValue="20138" maxValue="89626"/>
    </cacheField>
    <cacheField name="Unit_Price" numFmtId="0">
      <sharedItems containsSemiMixedTypes="0" containsString="0" containsNumber="1" containsInteger="1" minValue="500" maxValue="899"/>
    </cacheField>
    <cacheField name="Total_Revenue" numFmtId="0">
      <sharedItems containsSemiMixedTypes="0" containsString="0" containsNumber="1" containsInteger="1" minValue="10755624" maxValue="77760930" count="828">
        <n v="24770140"/>
        <n v="65225706"/>
        <n v="33540513"/>
        <n v="50153315"/>
        <n v="59481549"/>
        <n v="24700978"/>
        <n v="52318150"/>
        <n v="70570839"/>
        <n v="18008676"/>
        <n v="28620844"/>
        <n v="32916631"/>
        <n v="29917200"/>
        <n v="23871485"/>
        <n v="58853410"/>
        <n v="32013465"/>
        <n v="41432342"/>
        <n v="36813300"/>
        <n v="18924780"/>
        <n v="45861816"/>
        <n v="18889416"/>
        <n v="34776900"/>
        <n v="51734256"/>
        <n v="66758950"/>
        <n v="25823385"/>
        <n v="57084475"/>
        <n v="24736800"/>
        <n v="13804830"/>
        <n v="12406484"/>
        <n v="57356432"/>
        <n v="44189460"/>
        <n v="46691016"/>
        <n v="62172400"/>
        <n v="47148684"/>
        <n v="28895631"/>
        <n v="31350746"/>
        <n v="37658032"/>
        <n v="16528608"/>
        <n v="68518515"/>
        <n v="41729424"/>
        <n v="46403654"/>
        <n v="35098736"/>
        <n v="12408130"/>
        <n v="48821851"/>
        <n v="68410678"/>
        <n v="17553456"/>
        <n v="33639270"/>
        <n v="60340246"/>
        <n v="28362572"/>
        <n v="18125760"/>
        <n v="27315458"/>
        <n v="32601816"/>
        <n v="56337674"/>
        <n v="29424139"/>
        <n v="21939552"/>
        <n v="43985168"/>
        <n v="77760930"/>
        <n v="18771054"/>
        <n v="47027552"/>
        <n v="77611869"/>
        <n v="12212046"/>
        <n v="36951144"/>
        <n v="37523115"/>
        <n v="35043008"/>
        <n v="40691025"/>
        <n v="57771714"/>
        <n v="36076040"/>
        <n v="39314308"/>
        <n v="60810345"/>
        <n v="44599488"/>
        <n v="13236252"/>
        <n v="24881472"/>
        <n v="24002801"/>
        <n v="16449590"/>
        <n v="27010791"/>
        <n v="40438668"/>
        <n v="30895816"/>
        <n v="16932576"/>
        <n v="38943724"/>
        <n v="20499492"/>
        <n v="59211852"/>
        <n v="42010228"/>
        <n v="23287742"/>
        <n v="31961972"/>
        <n v="44042495"/>
        <n v="23284951"/>
        <n v="38938557"/>
        <n v="13545378"/>
        <n v="51970200"/>
        <n v="20113889"/>
        <n v="13072080"/>
        <n v="22954644"/>
        <n v="72824525"/>
        <n v="37998254"/>
        <n v="33158700"/>
        <n v="46075998"/>
        <n v="23742814"/>
        <n v="36636222"/>
        <n v="50695550"/>
        <n v="38917179"/>
        <n v="55247870"/>
        <n v="27881874"/>
        <n v="31425856"/>
        <n v="24947568"/>
        <n v="39300500"/>
        <n v="20794645"/>
        <n v="39437762"/>
        <n v="41191920"/>
        <n v="31378805"/>
        <n v="25847355"/>
        <n v="62118366"/>
        <n v="37212168"/>
        <n v="23493151"/>
        <n v="50900946"/>
        <n v="25567950"/>
        <n v="46829034"/>
        <n v="24966260"/>
        <n v="11626224"/>
        <n v="18606632"/>
        <n v="22110825"/>
        <n v="32516066"/>
        <n v="35921248"/>
        <n v="62144576"/>
        <n v="27162720"/>
        <n v="35222670"/>
        <n v="39303600"/>
        <n v="20084510"/>
        <n v="19338795"/>
        <n v="29009616"/>
        <n v="45875498"/>
        <n v="56353163"/>
        <n v="43477520"/>
        <n v="43678470"/>
        <n v="24390720"/>
        <n v="62989376"/>
        <n v="25545296"/>
        <n v="27562293"/>
        <n v="72153165"/>
        <n v="13982105"/>
        <n v="36711616"/>
        <n v="37787940"/>
        <n v="14604984"/>
        <n v="47197164"/>
        <n v="21595400"/>
        <n v="48367800"/>
        <n v="17221200"/>
        <n v="27651972"/>
        <n v="36859464"/>
        <n v="16696457"/>
        <n v="65625023"/>
        <n v="30662064"/>
        <n v="17378482"/>
        <n v="47470000"/>
        <n v="24622460"/>
        <n v="23902212"/>
        <n v="21532251"/>
        <n v="27101060"/>
        <n v="47013850"/>
        <n v="53052357"/>
        <n v="23298429"/>
        <n v="22868020"/>
        <n v="27660960"/>
        <n v="13436350"/>
        <n v="40785840"/>
        <n v="28057344"/>
        <n v="29524028"/>
        <n v="25428923"/>
        <n v="33808600"/>
        <n v="42512490"/>
        <n v="50574600"/>
        <n v="17784552"/>
        <n v="28537614"/>
        <n v="22967500"/>
        <n v="18894752"/>
        <n v="28102436"/>
        <n v="13816672"/>
        <n v="67193875"/>
        <n v="13756468"/>
        <n v="32667066"/>
        <n v="24912870"/>
        <n v="40402020"/>
        <n v="24926940"/>
        <n v="36409450"/>
        <n v="27953427"/>
        <n v="21130914"/>
        <n v="34958040"/>
        <n v="17291934"/>
        <n v="29393838"/>
        <n v="26952774"/>
        <n v="36183616"/>
        <n v="41421367"/>
        <n v="56535994"/>
        <n v="33517688"/>
        <n v="42572784"/>
        <n v="64500930"/>
        <n v="30674268"/>
        <n v="29553276"/>
        <n v="26645113"/>
        <n v="14308645"/>
        <n v="17084270"/>
        <n v="39357417"/>
        <n v="22665714"/>
        <n v="23706744"/>
        <n v="37605981"/>
        <n v="22990104"/>
        <n v="20778590"/>
        <n v="27639666"/>
        <n v="24084779"/>
        <n v="28203178"/>
        <n v="67764992"/>
        <n v="26341560"/>
        <n v="47363400"/>
        <n v="64508340"/>
        <n v="19494594"/>
        <n v="23163530"/>
        <n v="29132509"/>
        <n v="41123628"/>
        <n v="15463227"/>
        <n v="32136480"/>
        <n v="35889085"/>
        <n v="49001788"/>
        <n v="74305010"/>
        <n v="34736580"/>
        <n v="35191200"/>
        <n v="29442000"/>
        <n v="42727295"/>
        <n v="28173600"/>
        <n v="25262068"/>
        <n v="30551456"/>
        <n v="56979426"/>
        <n v="51534720"/>
        <n v="17750680"/>
        <n v="42873624"/>
        <n v="35455798"/>
        <n v="11140608"/>
        <n v="36636358"/>
        <n v="48656340"/>
        <n v="19224500"/>
        <n v="33765715"/>
        <n v="47554780"/>
        <n v="16235684"/>
        <n v="30112951"/>
        <n v="61662026"/>
        <n v="45352086"/>
        <n v="21460725"/>
        <n v="65286648"/>
        <n v="12963632"/>
        <n v="21263452"/>
        <n v="31079682"/>
        <n v="18543456"/>
        <n v="53057788"/>
        <n v="29196983"/>
        <n v="21797154"/>
        <n v="48905600"/>
        <n v="62276754"/>
        <n v="39360761"/>
        <n v="28740712"/>
        <n v="18724652"/>
        <n v="39601656"/>
        <n v="43571856"/>
        <n v="27579344"/>
        <n v="44616000"/>
        <n v="46648278"/>
        <n v="24929938"/>
        <n v="45976687"/>
        <n v="59362640"/>
        <n v="55323888"/>
        <n v="30244480"/>
        <n v="21143900"/>
        <n v="34372107"/>
        <n v="49115048"/>
        <n v="47128874"/>
        <n v="28964092"/>
        <n v="44568263"/>
        <n v="29192415"/>
        <n v="63690460"/>
        <n v="14582920"/>
        <n v="42385196"/>
        <n v="64056045"/>
        <n v="43280250"/>
        <n v="15835287"/>
        <n v="66779174"/>
        <n v="16014684"/>
        <n v="45824769"/>
        <n v="36653396"/>
        <n v="19203888"/>
        <n v="20285160"/>
        <n v="37977048"/>
        <n v="28897684"/>
        <n v="28274179"/>
        <n v="49813200"/>
        <n v="33768536"/>
        <n v="36731574"/>
        <n v="54692280"/>
        <n v="33346881"/>
        <n v="28520352"/>
        <n v="65386596"/>
        <n v="24655848"/>
        <n v="49824756"/>
        <n v="46495850"/>
        <n v="25929534"/>
        <n v="29441771"/>
        <n v="42294954"/>
        <n v="35205737"/>
        <n v="41949072"/>
        <n v="31929264"/>
        <n v="15814806"/>
        <n v="55048054"/>
        <n v="60131528"/>
        <n v="37417182"/>
        <n v="55656720"/>
        <n v="19447464"/>
        <n v="19432287"/>
        <n v="35286230"/>
        <n v="46771696"/>
        <n v="44776968"/>
        <n v="45236390"/>
        <n v="17340915"/>
        <n v="13068764"/>
        <n v="43714513"/>
        <n v="74408656"/>
        <n v="45087057"/>
        <n v="27963225"/>
        <n v="23919180"/>
        <n v="26224674"/>
        <n v="20739700"/>
        <n v="20913520"/>
        <n v="19902942"/>
        <n v="42190515"/>
        <n v="50331900"/>
        <n v="47380288"/>
        <n v="20929909"/>
        <n v="35438140"/>
        <n v="22651835"/>
        <n v="33973690"/>
        <n v="45473271"/>
        <n v="10755624"/>
        <n v="33153503"/>
        <n v="69389460"/>
        <n v="34703268"/>
        <n v="33637084"/>
        <n v="37876857"/>
        <n v="23532930"/>
        <n v="25971840"/>
        <n v="74742426"/>
        <n v="38374839"/>
        <n v="43473384"/>
        <n v="69102126"/>
        <n v="34387116"/>
        <n v="47807685"/>
        <n v="36410922"/>
        <n v="48097311"/>
        <n v="51721560"/>
        <n v="36351850"/>
        <n v="27356799"/>
        <n v="31428620"/>
        <n v="25543971"/>
        <n v="41280840"/>
        <n v="21576243"/>
        <n v="17118640"/>
        <n v="39482976"/>
        <n v="14620824"/>
        <n v="35843855"/>
        <n v="12789360"/>
        <n v="45326000"/>
        <n v="51134724"/>
        <n v="33228637"/>
        <n v="31956753"/>
        <n v="34742835"/>
        <n v="33338151"/>
        <n v="53785088"/>
        <n v="36181244"/>
        <n v="37066008"/>
        <n v="16292328"/>
        <n v="45853318"/>
        <n v="42830344"/>
        <n v="51668045"/>
        <n v="62626011"/>
        <n v="19908000"/>
        <n v="26099400"/>
        <n v="60012792"/>
        <n v="44075390"/>
        <n v="55016544"/>
        <n v="46279520"/>
        <n v="27420800"/>
        <n v="37824159"/>
        <n v="52152328"/>
        <n v="41464626"/>
        <n v="19975530"/>
        <n v="18523790"/>
        <n v="25701620"/>
        <n v="44681280"/>
        <n v="67415646"/>
        <n v="40048798"/>
        <n v="41104715"/>
        <n v="22837500"/>
        <n v="27191808"/>
        <n v="32008331"/>
        <n v="20038734"/>
        <n v="21681128"/>
        <n v="44161336"/>
        <n v="26080768"/>
        <n v="15447018"/>
        <n v="53354945"/>
        <n v="21097387"/>
        <n v="30398016"/>
        <n v="29020292"/>
        <n v="38465154"/>
        <n v="40740960"/>
        <n v="37009440"/>
        <n v="50341830"/>
        <n v="38590337"/>
        <n v="35405384"/>
        <n v="66848445"/>
        <n v="25427719"/>
        <n v="43165547"/>
        <n v="19041470"/>
        <n v="14674755"/>
        <n v="47513400"/>
        <n v="74066943"/>
        <n v="36702492"/>
        <n v="34490071"/>
        <n v="44186628"/>
        <n v="31556109"/>
        <n v="52950858"/>
        <n v="67170852"/>
        <n v="19247280"/>
        <n v="36015850"/>
        <n v="38997938"/>
        <n v="14225072"/>
        <n v="33250646"/>
        <n v="63724574"/>
        <n v="27441766"/>
        <n v="22989120"/>
        <n v="67062096"/>
        <n v="46293786"/>
        <n v="35372447"/>
        <n v="18961999"/>
        <n v="15703894"/>
        <n v="54083284"/>
        <n v="36655968"/>
        <n v="45727404"/>
        <n v="18913710"/>
        <n v="64761466"/>
        <n v="20499808"/>
        <n v="51179183"/>
        <n v="24160113"/>
        <n v="14566830"/>
        <n v="45604608"/>
        <n v="30610692"/>
        <n v="17773470"/>
        <n v="20593573"/>
        <n v="71197173"/>
        <n v="34583692"/>
        <n v="18437490"/>
        <n v="57113991"/>
        <n v="14608164"/>
        <n v="22600116"/>
        <n v="33614046"/>
        <n v="19569828"/>
        <n v="19437065"/>
        <n v="41228397"/>
        <n v="27907310"/>
        <n v="36192888"/>
        <n v="57514520"/>
        <n v="26388752"/>
        <n v="54827136"/>
        <n v="21979944"/>
        <n v="36032689"/>
        <n v="20645807"/>
        <n v="53824176"/>
        <n v="29936790"/>
        <n v="57295530"/>
        <n v="34843839"/>
        <n v="46969952"/>
        <n v="24551412"/>
        <n v="54544512"/>
        <n v="25882500"/>
        <n v="39148647"/>
        <n v="38268580"/>
        <n v="41297176"/>
        <n v="55778419"/>
        <n v="31016370"/>
        <n v="28432170"/>
        <n v="18589914"/>
        <n v="56583824"/>
        <n v="47419120"/>
        <n v="22649220"/>
        <n v="60699240"/>
        <n v="46214850"/>
        <n v="15492351"/>
        <n v="38840880"/>
        <n v="41709058"/>
        <n v="47342993"/>
        <n v="70384554"/>
        <n v="26683930"/>
        <n v="40995274"/>
        <n v="64128040"/>
        <n v="40470243"/>
        <n v="50975984"/>
        <n v="73223452"/>
        <n v="36991804"/>
        <n v="39457150"/>
        <n v="31857345"/>
        <n v="40607261"/>
        <n v="27247036"/>
        <n v="65205728"/>
        <n v="39027282"/>
        <n v="15107544"/>
        <n v="25051098"/>
        <n v="13585224"/>
        <n v="40287897"/>
        <n v="61375746"/>
        <n v="44820504"/>
        <n v="30256170"/>
        <n v="56801139"/>
        <n v="18092152"/>
        <n v="16798590"/>
        <n v="26074076"/>
        <n v="51756302"/>
        <n v="13654260"/>
        <n v="65791362"/>
        <n v="52154608"/>
        <n v="46761372"/>
        <n v="71214207"/>
        <n v="25242658"/>
        <n v="46889226"/>
        <n v="69464139"/>
        <n v="16551126"/>
        <n v="17171424"/>
        <n v="35860596"/>
        <n v="45401648"/>
        <n v="34021958"/>
        <n v="22634871"/>
        <n v="15019893"/>
        <n v="26749512"/>
        <n v="67326156"/>
        <n v="22820616"/>
        <n v="25338170"/>
        <n v="52103961"/>
        <n v="15389829"/>
        <n v="52339240"/>
        <n v="47996635"/>
        <n v="20353275"/>
        <n v="18857696"/>
        <n v="21697032"/>
        <n v="20350764"/>
        <n v="21636359"/>
        <n v="74236932"/>
        <n v="24210456"/>
        <n v="29001504"/>
        <n v="54463606"/>
        <n v="20150640"/>
        <n v="51105936"/>
        <n v="32125790"/>
        <n v="51102432"/>
        <n v="59676929"/>
        <n v="27491540"/>
        <n v="28263258"/>
        <n v="52717708"/>
        <n v="64586060"/>
        <n v="17130555"/>
        <n v="26349903"/>
        <n v="38432568"/>
        <n v="27751670"/>
        <n v="27077534"/>
        <n v="46788105"/>
        <n v="39296322"/>
        <n v="13778661"/>
        <n v="56648530"/>
        <n v="13568680"/>
        <n v="59806101"/>
        <n v="50785680"/>
        <n v="11803022"/>
        <n v="53654561"/>
        <n v="75457137"/>
        <n v="41812800"/>
        <n v="13344441"/>
        <n v="40491090"/>
        <n v="24533156"/>
        <n v="34976040"/>
        <n v="26125321"/>
        <n v="28300850"/>
        <n v="26599392"/>
        <n v="16037273"/>
        <n v="24326904"/>
        <n v="22629630"/>
        <n v="55607645"/>
        <n v="22568394"/>
        <n v="48011205"/>
        <n v="24267652"/>
        <n v="29273500"/>
        <n v="53048086"/>
        <n v="25571248"/>
        <n v="23646176"/>
        <n v="52114206"/>
        <n v="66200400"/>
        <n v="11592261"/>
        <n v="22213458"/>
        <n v="24814394"/>
        <n v="42897225"/>
        <n v="26155382"/>
        <n v="32461506"/>
        <n v="35327600"/>
        <n v="45695420"/>
        <n v="56435208"/>
        <n v="38304742"/>
        <n v="35192254"/>
        <n v="65061161"/>
        <n v="37892799"/>
        <n v="55221463"/>
        <n v="66846550"/>
        <n v="50095760"/>
        <n v="20330096"/>
        <n v="43043550"/>
        <n v="17974840"/>
        <n v="31917162"/>
        <n v="41448720"/>
        <n v="15595000"/>
        <n v="30697920"/>
        <n v="21574530"/>
        <n v="37437192"/>
        <n v="51938052"/>
        <n v="50129520"/>
        <n v="20124752"/>
        <n v="48744024"/>
        <n v="41289710"/>
        <n v="21525570"/>
        <n v="51289110"/>
        <n v="62234880"/>
        <n v="41057828"/>
        <n v="52100018"/>
        <n v="60719869"/>
        <n v="12703040"/>
        <n v="19585989"/>
        <n v="31978765"/>
        <n v="45299600"/>
        <n v="49322868"/>
        <n v="21944133"/>
        <n v="24869859"/>
        <n v="44074072"/>
        <n v="45834726"/>
        <n v="37903071"/>
        <n v="23146138"/>
        <n v="63137171"/>
        <n v="21427628"/>
        <n v="49194544"/>
        <n v="67741882"/>
        <n v="35036222"/>
        <n v="27431168"/>
        <n v="54039205"/>
        <n v="16186380"/>
        <n v="19216356"/>
        <n v="32982878"/>
        <n v="15889503"/>
        <n v="18296811"/>
        <n v="31263944"/>
        <n v="39214296"/>
        <n v="35519708"/>
        <n v="22708528"/>
        <n v="18046068"/>
        <n v="41528087"/>
        <n v="23844260"/>
        <n v="15701139"/>
        <n v="13119300"/>
        <n v="17157576"/>
        <n v="27435642"/>
        <n v="32686638"/>
        <n v="51333120"/>
        <n v="29653980"/>
        <n v="14734580"/>
        <n v="21007070"/>
        <n v="27236826"/>
        <n v="42303360"/>
        <n v="25962038"/>
        <n v="32307885"/>
        <n v="31770304"/>
        <n v="59082438"/>
        <n v="13149426"/>
        <n v="45933976"/>
        <n v="69560400"/>
        <n v="23338908"/>
        <n v="29069700"/>
        <n v="36316413"/>
        <n v="31340722"/>
        <n v="13767404"/>
        <n v="54410813"/>
        <n v="16014075"/>
        <n v="20570076"/>
        <n v="55513395"/>
        <n v="30580000"/>
        <n v="26626245"/>
        <n v="17617944"/>
        <n v="34584771"/>
        <n v="57834480"/>
        <n v="69635718"/>
        <n v="36681060"/>
        <n v="60702082"/>
        <n v="35113164"/>
        <n v="23279496"/>
        <n v="53268512"/>
        <n v="48008059"/>
        <n v="11895539"/>
        <n v="32554467"/>
        <n v="28767204"/>
        <n v="44757508"/>
        <n v="20406021"/>
        <n v="56663184"/>
        <n v="26830749"/>
        <n v="32969130"/>
        <n v="45157690"/>
        <n v="31429770"/>
        <n v="45938384"/>
        <n v="32298428"/>
        <n v="39499625"/>
        <n v="37133012"/>
        <n v="38564986"/>
        <n v="18817904"/>
        <n v="51309720"/>
        <n v="22973538"/>
        <n v="39301025"/>
        <n v="53712935"/>
        <n v="64706760"/>
        <n v="26938228"/>
        <n v="33143040"/>
        <n v="46502277"/>
        <n v="19334445"/>
        <n v="48624303"/>
        <n v="66960454"/>
        <n v="31695196"/>
        <n v="18448437"/>
        <n v="62481714"/>
        <n v="33116265"/>
        <n v="26772144"/>
        <n v="48458165"/>
        <n v="11963159"/>
        <n v="25272489"/>
        <n v="17650120"/>
        <n v="25308580"/>
        <n v="31180352"/>
        <n v="20008575"/>
        <n v="35482744"/>
        <n v="25830616"/>
        <n v="37799164"/>
        <n v="13255788"/>
        <n v="36954820"/>
        <n v="36863802"/>
        <n v="42800305"/>
        <n v="44333230"/>
        <n v="64615603"/>
        <n v="46768512"/>
        <n v="34597899"/>
        <n v="26781479"/>
        <n v="37361786"/>
        <n v="39768166"/>
        <n v="41568108"/>
        <n v="51955992"/>
        <n v="12950944"/>
        <n v="60696090"/>
        <n v="43340998"/>
        <n v="42185408"/>
        <n v="44920859"/>
        <n v="25317576"/>
        <n v="23168838"/>
        <n v="25552790"/>
        <n v="17915123"/>
        <n v="51640780"/>
        <n v="33441785"/>
        <n v="30773134"/>
        <n v="55345955"/>
        <n v="40301050"/>
        <n v="44146588"/>
        <n v="37995070"/>
        <n v="60036384"/>
        <n v="13980640"/>
        <n v="47347524"/>
        <n v="72328893"/>
        <n v="29358014"/>
        <n v="36308184"/>
        <n v="73742184"/>
        <n v="48447412"/>
        <n v="52383750"/>
        <n v="17122188"/>
        <n v="30802352"/>
        <n v="55417350"/>
        <n v="50318435"/>
        <n v="27574816"/>
        <n v="49375360"/>
        <n v="55241168"/>
        <n v="21649310"/>
        <n v="29094632"/>
        <n v="25662744"/>
        <n v="20343484"/>
        <n v="29265867"/>
        <n v="26842320"/>
        <n v="37461330"/>
        <n v="50647430"/>
        <n v="72196656"/>
        <n v="27518400"/>
        <n v="40762800"/>
        <n v="31005412"/>
        <n v="20596032"/>
        <n v="25518720"/>
        <n v="47585125"/>
        <n v="11176396"/>
        <n v="45304986"/>
        <n v="51024896"/>
        <n v="22456263"/>
        <n v="34711092"/>
        <n v="63385088"/>
        <n v="49026351"/>
        <n v="16041012"/>
        <n v="27663085"/>
        <n v="36654502"/>
        <n v="21412002"/>
        <n v="31743962"/>
        <n v="18845868"/>
        <n v="19316616"/>
        <n v="16876696"/>
        <n v="27307057"/>
        <n v="14401590"/>
        <n v="33400318"/>
        <n v="27088699"/>
        <n v="18489405"/>
        <n v="18272028"/>
        <n v="20211040"/>
        <n v="48584802"/>
        <n v="45936417"/>
        <n v="12661425"/>
      </sharedItems>
    </cacheField>
    <cacheField name="Cost_Price" numFmtId="0">
      <sharedItems containsSemiMixedTypes="0" containsString="0" containsNumber="1" containsInteger="1" minValue="423" maxValue="864"/>
    </cacheField>
    <cacheField name="Gross_Margin" numFmtId="0">
      <sharedItems containsSemiMixedTypes="0" containsString="0" containsNumber="1" containsInteger="1" minValue="605220" maxValue="6909006"/>
    </cacheField>
    <cacheField name="Customer_Type" numFmtId="0">
      <sharedItems count="2">
        <s v="Bulk"/>
        <s v="Retail"/>
      </sharedItems>
    </cacheField>
    <cacheField name="Stock_Before" numFmtId="0">
      <sharedItems containsSemiMixedTypes="0" containsString="0" containsNumber="1" containsInteger="1" minValue="200159" maxValue="499967"/>
    </cacheField>
    <cacheField name="Stock_After" numFmtId="0">
      <sharedItems containsSemiMixedTypes="0" containsString="0" containsNumber="1" containsInteger="1" minValue="117087" maxValue="473907"/>
    </cacheField>
    <cacheField name="Months" numFmtId="0" databaseField="0">
      <fieldGroup base="0">
        <rangePr groupBy="months" startDate="2024-10-01T00:00:00" endDate="2025-01-01T00:00:00"/>
        <groupItems count="14">
          <s v="&lt;01/10/2024"/>
          <s v="Jan"/>
          <s v="Feb"/>
          <s v="Mar"/>
          <s v="Apr"/>
          <s v="May"/>
          <s v="Jun"/>
          <s v="Jul"/>
          <s v="Aug"/>
          <s v="Sept"/>
          <s v="Oct"/>
          <s v="Nov"/>
          <s v="Dec"/>
          <s v="&gt;01/01/2025"/>
        </groupItems>
      </fieldGroup>
    </cacheField>
    <cacheField name="Margin%" numFmtId="0" formula="Gross_Margin /Total_Revenue" databaseField="0"/>
  </cacheFields>
  <extLst>
    <ext xmlns:x14="http://schemas.microsoft.com/office/spreadsheetml/2009/9/main" uri="{725AE2AE-9491-48be-B2B4-4EB974FC3084}">
      <x14:pivotCacheDefinition pivotCacheId="685422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8">
  <r>
    <x v="0"/>
    <x v="0"/>
    <x v="0"/>
    <n v="35795"/>
    <n v="692"/>
    <x v="0"/>
    <n v="648"/>
    <n v="1574980"/>
    <x v="0"/>
    <n v="459178"/>
    <n v="423383"/>
  </r>
  <r>
    <x v="0"/>
    <x v="0"/>
    <x v="1"/>
    <n v="74886"/>
    <n v="871"/>
    <x v="1"/>
    <n v="823"/>
    <n v="3594528"/>
    <x v="0"/>
    <n v="287498"/>
    <n v="212612"/>
  </r>
  <r>
    <x v="0"/>
    <x v="0"/>
    <x v="2"/>
    <n v="64131"/>
    <n v="523"/>
    <x v="2"/>
    <n v="491"/>
    <n v="2052192"/>
    <x v="0"/>
    <n v="264820"/>
    <n v="200689"/>
  </r>
  <r>
    <x v="0"/>
    <x v="1"/>
    <x v="0"/>
    <n v="79735"/>
    <n v="629"/>
    <x v="3"/>
    <n v="562"/>
    <n v="5342245"/>
    <x v="0"/>
    <n v="399041"/>
    <n v="319306"/>
  </r>
  <r>
    <x v="0"/>
    <x v="1"/>
    <x v="1"/>
    <n v="73707"/>
    <n v="807"/>
    <x v="4"/>
    <n v="756"/>
    <n v="3759057"/>
    <x v="1"/>
    <n v="458795"/>
    <n v="385088"/>
  </r>
  <r>
    <x v="0"/>
    <x v="1"/>
    <x v="2"/>
    <n v="45658"/>
    <n v="541"/>
    <x v="5"/>
    <n v="484"/>
    <n v="2602506"/>
    <x v="0"/>
    <n v="202747"/>
    <n v="157089"/>
  </r>
  <r>
    <x v="0"/>
    <x v="2"/>
    <x v="0"/>
    <n v="79150"/>
    <n v="661"/>
    <x v="6"/>
    <n v="585"/>
    <n v="6015400"/>
    <x v="1"/>
    <n v="267435"/>
    <n v="188285"/>
  </r>
  <r>
    <x v="0"/>
    <x v="2"/>
    <x v="1"/>
    <n v="86803"/>
    <n v="813"/>
    <x v="7"/>
    <n v="781"/>
    <n v="2777696"/>
    <x v="1"/>
    <n v="203890"/>
    <n v="117087"/>
  </r>
  <r>
    <x v="0"/>
    <x v="2"/>
    <x v="2"/>
    <n v="30627"/>
    <n v="588"/>
    <x v="8"/>
    <n v="545"/>
    <n v="1316961"/>
    <x v="0"/>
    <n v="405041"/>
    <n v="374414"/>
  </r>
  <r>
    <x v="1"/>
    <x v="0"/>
    <x v="0"/>
    <n v="43897"/>
    <n v="652"/>
    <x v="9"/>
    <n v="621"/>
    <n v="1360807"/>
    <x v="0"/>
    <n v="324243"/>
    <n v="280346"/>
  </r>
  <r>
    <x v="1"/>
    <x v="0"/>
    <x v="1"/>
    <n v="43483"/>
    <n v="757"/>
    <x v="10"/>
    <n v="681"/>
    <n v="3304708"/>
    <x v="0"/>
    <n v="306530"/>
    <n v="263047"/>
  </r>
  <r>
    <x v="1"/>
    <x v="0"/>
    <x v="2"/>
    <n v="55920"/>
    <n v="535"/>
    <x v="11"/>
    <n v="456"/>
    <n v="4417680"/>
    <x v="0"/>
    <n v="400551"/>
    <n v="344631"/>
  </r>
  <r>
    <x v="1"/>
    <x v="1"/>
    <x v="0"/>
    <n v="39457"/>
    <n v="605"/>
    <x v="12"/>
    <n v="534"/>
    <n v="2801447"/>
    <x v="1"/>
    <n v="371829"/>
    <n v="332372"/>
  </r>
  <r>
    <x v="1"/>
    <x v="1"/>
    <x v="1"/>
    <n v="65758"/>
    <n v="895"/>
    <x v="13"/>
    <n v="840"/>
    <n v="3616690"/>
    <x v="0"/>
    <n v="402283"/>
    <n v="336525"/>
  </r>
  <r>
    <x v="1"/>
    <x v="1"/>
    <x v="2"/>
    <n v="57065"/>
    <n v="561"/>
    <x v="14"/>
    <n v="496"/>
    <n v="3709225"/>
    <x v="0"/>
    <n v="211534"/>
    <n v="154469"/>
  </r>
  <r>
    <x v="1"/>
    <x v="2"/>
    <x v="0"/>
    <n v="60397"/>
    <n v="686"/>
    <x v="15"/>
    <n v="617"/>
    <n v="4167393"/>
    <x v="0"/>
    <n v="420884"/>
    <n v="360487"/>
  </r>
  <r>
    <x v="1"/>
    <x v="2"/>
    <x v="1"/>
    <n v="44300"/>
    <n v="831"/>
    <x v="16"/>
    <n v="755"/>
    <n v="3366800"/>
    <x v="0"/>
    <n v="209268"/>
    <n v="164968"/>
  </r>
  <r>
    <x v="1"/>
    <x v="2"/>
    <x v="2"/>
    <n v="32185"/>
    <n v="588"/>
    <x v="17"/>
    <n v="514"/>
    <n v="2381690"/>
    <x v="1"/>
    <n v="436584"/>
    <n v="404399"/>
  </r>
  <r>
    <x v="2"/>
    <x v="0"/>
    <x v="0"/>
    <n v="71214"/>
    <n v="644"/>
    <x v="18"/>
    <n v="614"/>
    <n v="2136420"/>
    <x v="1"/>
    <n v="248984"/>
    <n v="177770"/>
  </r>
  <r>
    <x v="2"/>
    <x v="0"/>
    <x v="1"/>
    <n v="22568"/>
    <n v="837"/>
    <x v="19"/>
    <n v="807"/>
    <n v="677040"/>
    <x v="0"/>
    <n v="333767"/>
    <n v="311199"/>
  </r>
  <r>
    <x v="2"/>
    <x v="0"/>
    <x v="2"/>
    <n v="68190"/>
    <n v="510"/>
    <x v="20"/>
    <n v="464"/>
    <n v="3136740"/>
    <x v="1"/>
    <n v="364231"/>
    <n v="296041"/>
  </r>
  <r>
    <x v="2"/>
    <x v="1"/>
    <x v="0"/>
    <n v="81858"/>
    <n v="632"/>
    <x v="21"/>
    <n v="598"/>
    <n v="2783172"/>
    <x v="1"/>
    <n v="334633"/>
    <n v="252775"/>
  </r>
  <r>
    <x v="2"/>
    <x v="1"/>
    <x v="1"/>
    <n v="84505"/>
    <n v="790"/>
    <x v="22"/>
    <n v="733"/>
    <n v="4816785"/>
    <x v="1"/>
    <n v="484806"/>
    <n v="400301"/>
  </r>
  <r>
    <x v="2"/>
    <x v="1"/>
    <x v="2"/>
    <n v="50535"/>
    <n v="511"/>
    <x v="23"/>
    <n v="448"/>
    <n v="3183705"/>
    <x v="0"/>
    <n v="497366"/>
    <n v="446831"/>
  </r>
  <r>
    <x v="2"/>
    <x v="2"/>
    <x v="0"/>
    <n v="83335"/>
    <n v="685"/>
    <x v="24"/>
    <n v="629"/>
    <n v="4666760"/>
    <x v="1"/>
    <n v="401664"/>
    <n v="318329"/>
  </r>
  <r>
    <x v="2"/>
    <x v="2"/>
    <x v="1"/>
    <n v="28110"/>
    <n v="880"/>
    <x v="25"/>
    <n v="850"/>
    <n v="843300"/>
    <x v="0"/>
    <n v="414020"/>
    <n v="385910"/>
  </r>
  <r>
    <x v="2"/>
    <x v="2"/>
    <x v="2"/>
    <n v="26910"/>
    <n v="513"/>
    <x v="26"/>
    <n v="445"/>
    <n v="1829880"/>
    <x v="1"/>
    <n v="321626"/>
    <n v="294716"/>
  </r>
  <r>
    <x v="3"/>
    <x v="0"/>
    <x v="0"/>
    <n v="20206"/>
    <n v="614"/>
    <x v="27"/>
    <n v="559"/>
    <n v="1111330"/>
    <x v="0"/>
    <n v="322409"/>
    <n v="302203"/>
  </r>
  <r>
    <x v="3"/>
    <x v="0"/>
    <x v="1"/>
    <n v="70636"/>
    <n v="812"/>
    <x v="28"/>
    <n v="751"/>
    <n v="4308796"/>
    <x v="1"/>
    <n v="448550"/>
    <n v="377914"/>
  </r>
  <r>
    <x v="3"/>
    <x v="0"/>
    <x v="2"/>
    <n v="74268"/>
    <n v="595"/>
    <x v="29"/>
    <n v="562"/>
    <n v="2450844"/>
    <x v="1"/>
    <n v="411428"/>
    <n v="337160"/>
  </r>
  <r>
    <x v="3"/>
    <x v="1"/>
    <x v="0"/>
    <n v="76044"/>
    <n v="614"/>
    <x v="30"/>
    <n v="542"/>
    <n v="5475168"/>
    <x v="0"/>
    <n v="450396"/>
    <n v="374352"/>
  </r>
  <r>
    <x v="3"/>
    <x v="1"/>
    <x v="1"/>
    <n v="75820"/>
    <n v="820"/>
    <x v="31"/>
    <n v="769"/>
    <n v="3866820"/>
    <x v="0"/>
    <n v="243585"/>
    <n v="167765"/>
  </r>
  <r>
    <x v="3"/>
    <x v="1"/>
    <x v="2"/>
    <n v="84044"/>
    <n v="561"/>
    <x v="32"/>
    <n v="526"/>
    <n v="2941540"/>
    <x v="0"/>
    <n v="443307"/>
    <n v="359263"/>
  </r>
  <r>
    <x v="3"/>
    <x v="2"/>
    <x v="0"/>
    <n v="45939"/>
    <n v="629"/>
    <x v="33"/>
    <n v="589"/>
    <n v="1837560"/>
    <x v="0"/>
    <n v="218047"/>
    <n v="172108"/>
  </r>
  <r>
    <x v="3"/>
    <x v="2"/>
    <x v="1"/>
    <n v="35707"/>
    <n v="878"/>
    <x v="34"/>
    <n v="822"/>
    <n v="1999592"/>
    <x v="0"/>
    <n v="337848"/>
    <n v="302141"/>
  </r>
  <r>
    <x v="3"/>
    <x v="2"/>
    <x v="2"/>
    <n v="75016"/>
    <n v="502"/>
    <x v="35"/>
    <n v="434"/>
    <n v="5101088"/>
    <x v="1"/>
    <n v="221959"/>
    <n v="146943"/>
  </r>
  <r>
    <x v="4"/>
    <x v="0"/>
    <x v="0"/>
    <n v="23748"/>
    <n v="696"/>
    <x v="36"/>
    <n v="625"/>
    <n v="1686108"/>
    <x v="1"/>
    <n v="365838"/>
    <n v="342090"/>
  </r>
  <r>
    <x v="4"/>
    <x v="0"/>
    <x v="1"/>
    <n v="81087"/>
    <n v="845"/>
    <x v="37"/>
    <n v="792"/>
    <n v="4297611"/>
    <x v="0"/>
    <n v="268840"/>
    <n v="187753"/>
  </r>
  <r>
    <x v="4"/>
    <x v="0"/>
    <x v="2"/>
    <n v="74384"/>
    <n v="561"/>
    <x v="38"/>
    <n v="483"/>
    <n v="5801952"/>
    <x v="0"/>
    <n v="239353"/>
    <n v="164969"/>
  </r>
  <r>
    <x v="4"/>
    <x v="1"/>
    <x v="0"/>
    <n v="72733"/>
    <n v="638"/>
    <x v="39"/>
    <n v="607"/>
    <n v="2254723"/>
    <x v="1"/>
    <n v="267172"/>
    <n v="194439"/>
  </r>
  <r>
    <x v="4"/>
    <x v="1"/>
    <x v="1"/>
    <n v="46736"/>
    <n v="751"/>
    <x v="40"/>
    <n v="720"/>
    <n v="1448816"/>
    <x v="0"/>
    <n v="312859"/>
    <n v="266123"/>
  </r>
  <r>
    <x v="4"/>
    <x v="1"/>
    <x v="2"/>
    <n v="20854"/>
    <n v="595"/>
    <x v="41"/>
    <n v="533"/>
    <n v="1292948"/>
    <x v="0"/>
    <n v="457426"/>
    <n v="436572"/>
  </r>
  <r>
    <x v="4"/>
    <x v="2"/>
    <x v="0"/>
    <n v="70859"/>
    <n v="689"/>
    <x v="42"/>
    <n v="628"/>
    <n v="4322399"/>
    <x v="0"/>
    <n v="357381"/>
    <n v="286522"/>
  </r>
  <r>
    <x v="4"/>
    <x v="2"/>
    <x v="1"/>
    <n v="83734"/>
    <n v="817"/>
    <x v="43"/>
    <n v="777"/>
    <n v="3349360"/>
    <x v="1"/>
    <n v="309751"/>
    <n v="226017"/>
  </r>
  <r>
    <x v="4"/>
    <x v="2"/>
    <x v="2"/>
    <n v="32688"/>
    <n v="537"/>
    <x v="44"/>
    <n v="484"/>
    <n v="1732464"/>
    <x v="0"/>
    <n v="306081"/>
    <n v="273393"/>
  </r>
  <r>
    <x v="5"/>
    <x v="0"/>
    <x v="0"/>
    <n v="54698"/>
    <n v="615"/>
    <x v="45"/>
    <n v="553"/>
    <n v="3391276"/>
    <x v="0"/>
    <n v="286202"/>
    <n v="231504"/>
  </r>
  <r>
    <x v="5"/>
    <x v="0"/>
    <x v="1"/>
    <n v="71663"/>
    <n v="842"/>
    <x v="46"/>
    <n v="810"/>
    <n v="2293216"/>
    <x v="1"/>
    <n v="333883"/>
    <n v="262220"/>
  </r>
  <r>
    <x v="5"/>
    <x v="0"/>
    <x v="2"/>
    <n v="54754"/>
    <n v="518"/>
    <x v="47"/>
    <n v="469"/>
    <n v="2682946"/>
    <x v="1"/>
    <n v="333983"/>
    <n v="279229"/>
  </r>
  <r>
    <x v="5"/>
    <x v="1"/>
    <x v="0"/>
    <n v="28680"/>
    <n v="632"/>
    <x v="48"/>
    <n v="563"/>
    <n v="1978920"/>
    <x v="1"/>
    <n v="271295"/>
    <n v="242615"/>
  </r>
  <r>
    <x v="5"/>
    <x v="1"/>
    <x v="1"/>
    <n v="31111"/>
    <n v="878"/>
    <x v="49"/>
    <n v="838"/>
    <n v="1244440"/>
    <x v="1"/>
    <n v="208155"/>
    <n v="177044"/>
  </r>
  <r>
    <x v="5"/>
    <x v="1"/>
    <x v="2"/>
    <n v="59384"/>
    <n v="549"/>
    <x v="50"/>
    <n v="497"/>
    <n v="3087968"/>
    <x v="0"/>
    <n v="484062"/>
    <n v="424678"/>
  </r>
  <r>
    <x v="5"/>
    <x v="2"/>
    <x v="0"/>
    <n v="80713"/>
    <n v="698"/>
    <x v="51"/>
    <n v="662"/>
    <n v="2905668"/>
    <x v="0"/>
    <n v="320975"/>
    <n v="240262"/>
  </r>
  <r>
    <x v="5"/>
    <x v="2"/>
    <x v="1"/>
    <n v="36371"/>
    <n v="809"/>
    <x v="52"/>
    <n v="731"/>
    <n v="2836938"/>
    <x v="1"/>
    <n v="333121"/>
    <n v="296750"/>
  </r>
  <r>
    <x v="5"/>
    <x v="2"/>
    <x v="2"/>
    <n v="40932"/>
    <n v="536"/>
    <x v="53"/>
    <n v="475"/>
    <n v="2496852"/>
    <x v="1"/>
    <n v="392506"/>
    <n v="351574"/>
  </r>
  <r>
    <x v="6"/>
    <x v="0"/>
    <x v="0"/>
    <n v="63016"/>
    <n v="698"/>
    <x v="54"/>
    <n v="650"/>
    <n v="3024768"/>
    <x v="0"/>
    <n v="215151"/>
    <n v="152135"/>
  </r>
  <r>
    <x v="6"/>
    <x v="0"/>
    <x v="1"/>
    <n v="86690"/>
    <n v="897"/>
    <x v="55"/>
    <n v="844"/>
    <n v="4594570"/>
    <x v="0"/>
    <n v="474327"/>
    <n v="387637"/>
  </r>
  <r>
    <x v="6"/>
    <x v="0"/>
    <x v="2"/>
    <n v="32874"/>
    <n v="571"/>
    <x v="56"/>
    <n v="506"/>
    <n v="2136810"/>
    <x v="0"/>
    <n v="384423"/>
    <n v="351549"/>
  </r>
  <r>
    <x v="6"/>
    <x v="1"/>
    <x v="0"/>
    <n v="68354"/>
    <n v="688"/>
    <x v="57"/>
    <n v="624"/>
    <n v="4374656"/>
    <x v="1"/>
    <n v="333272"/>
    <n v="264918"/>
  </r>
  <r>
    <x v="6"/>
    <x v="1"/>
    <x v="1"/>
    <n v="88497"/>
    <n v="877"/>
    <x v="58"/>
    <n v="802"/>
    <n v="6637275"/>
    <x v="0"/>
    <n v="319121"/>
    <n v="230624"/>
  </r>
  <r>
    <x v="6"/>
    <x v="1"/>
    <x v="2"/>
    <n v="22869"/>
    <n v="534"/>
    <x v="59"/>
    <n v="489"/>
    <n v="1029105"/>
    <x v="0"/>
    <n v="312296"/>
    <n v="289427"/>
  </r>
  <r>
    <x v="6"/>
    <x v="2"/>
    <x v="0"/>
    <n v="58467"/>
    <n v="632"/>
    <x v="60"/>
    <n v="589"/>
    <n v="2514081"/>
    <x v="0"/>
    <n v="335059"/>
    <n v="276592"/>
  </r>
  <r>
    <x v="6"/>
    <x v="2"/>
    <x v="1"/>
    <n v="42399"/>
    <n v="885"/>
    <x v="61"/>
    <n v="849"/>
    <n v="1526364"/>
    <x v="0"/>
    <n v="286416"/>
    <n v="244017"/>
  </r>
  <r>
    <x v="6"/>
    <x v="2"/>
    <x v="2"/>
    <n v="64064"/>
    <n v="547"/>
    <x v="62"/>
    <n v="506"/>
    <n v="2626624"/>
    <x v="1"/>
    <n v="307450"/>
    <n v="243386"/>
  </r>
  <r>
    <x v="7"/>
    <x v="0"/>
    <x v="0"/>
    <n v="65525"/>
    <n v="621"/>
    <x v="63"/>
    <n v="546"/>
    <n v="4914375"/>
    <x v="0"/>
    <n v="316381"/>
    <n v="250856"/>
  </r>
  <r>
    <x v="7"/>
    <x v="0"/>
    <x v="1"/>
    <n v="67333"/>
    <n v="858"/>
    <x v="64"/>
    <n v="821"/>
    <n v="2491321"/>
    <x v="1"/>
    <n v="350810"/>
    <n v="283477"/>
  </r>
  <r>
    <x v="7"/>
    <x v="0"/>
    <x v="2"/>
    <n v="69377"/>
    <n v="520"/>
    <x v="65"/>
    <n v="461"/>
    <n v="4093243"/>
    <x v="1"/>
    <n v="336672"/>
    <n v="267295"/>
  </r>
  <r>
    <x v="7"/>
    <x v="1"/>
    <x v="0"/>
    <n v="60764"/>
    <n v="647"/>
    <x v="66"/>
    <n v="599"/>
    <n v="2916672"/>
    <x v="0"/>
    <n v="302946"/>
    <n v="242182"/>
  </r>
  <r>
    <x v="7"/>
    <x v="1"/>
    <x v="1"/>
    <n v="76491"/>
    <n v="795"/>
    <x v="67"/>
    <n v="760"/>
    <n v="2677185"/>
    <x v="0"/>
    <n v="378274"/>
    <n v="301783"/>
  </r>
  <r>
    <x v="7"/>
    <x v="1"/>
    <x v="2"/>
    <n v="83208"/>
    <n v="536"/>
    <x v="68"/>
    <n v="483"/>
    <n v="4410024"/>
    <x v="1"/>
    <n v="465564"/>
    <n v="382356"/>
  </r>
  <r>
    <x v="7"/>
    <x v="2"/>
    <x v="0"/>
    <n v="20301"/>
    <n v="652"/>
    <x v="69"/>
    <n v="592"/>
    <n v="1218060"/>
    <x v="1"/>
    <n v="324019"/>
    <n v="303718"/>
  </r>
  <r>
    <x v="7"/>
    <x v="2"/>
    <x v="1"/>
    <n v="30492"/>
    <n v="816"/>
    <x v="70"/>
    <n v="769"/>
    <n v="1433124"/>
    <x v="0"/>
    <n v="365656"/>
    <n v="335164"/>
  </r>
  <r>
    <x v="7"/>
    <x v="2"/>
    <x v="2"/>
    <n v="43093"/>
    <n v="557"/>
    <x v="71"/>
    <n v="525"/>
    <n v="1378976"/>
    <x v="0"/>
    <n v="236631"/>
    <n v="193538"/>
  </r>
  <r>
    <x v="8"/>
    <x v="0"/>
    <x v="0"/>
    <n v="24014"/>
    <n v="685"/>
    <x v="72"/>
    <n v="633"/>
    <n v="1248728"/>
    <x v="1"/>
    <n v="497921"/>
    <n v="473907"/>
  </r>
  <r>
    <x v="8"/>
    <x v="0"/>
    <x v="1"/>
    <n v="30729"/>
    <n v="879"/>
    <x v="73"/>
    <n v="824"/>
    <n v="1690095"/>
    <x v="0"/>
    <n v="397392"/>
    <n v="366663"/>
  </r>
  <r>
    <x v="8"/>
    <x v="0"/>
    <x v="2"/>
    <n v="74748"/>
    <n v="541"/>
    <x v="74"/>
    <n v="486"/>
    <n v="4111140"/>
    <x v="0"/>
    <n v="435362"/>
    <n v="360614"/>
  </r>
  <r>
    <x v="8"/>
    <x v="1"/>
    <x v="0"/>
    <n v="49592"/>
    <n v="623"/>
    <x v="75"/>
    <n v="581"/>
    <n v="2082864"/>
    <x v="0"/>
    <n v="419963"/>
    <n v="370371"/>
  </r>
  <r>
    <x v="8"/>
    <x v="1"/>
    <x v="1"/>
    <n v="22368"/>
    <n v="757"/>
    <x v="76"/>
    <n v="682"/>
    <n v="1677600"/>
    <x v="0"/>
    <n v="270031"/>
    <n v="247663"/>
  </r>
  <r>
    <x v="8"/>
    <x v="1"/>
    <x v="2"/>
    <n v="75766"/>
    <n v="514"/>
    <x v="77"/>
    <n v="457"/>
    <n v="4318662"/>
    <x v="0"/>
    <n v="232097"/>
    <n v="156331"/>
  </r>
  <r>
    <x v="8"/>
    <x v="2"/>
    <x v="0"/>
    <n v="30966"/>
    <n v="662"/>
    <x v="78"/>
    <n v="611"/>
    <n v="1579266"/>
    <x v="1"/>
    <n v="318834"/>
    <n v="287868"/>
  </r>
  <r>
    <x v="8"/>
    <x v="2"/>
    <x v="1"/>
    <n v="72921"/>
    <n v="812"/>
    <x v="79"/>
    <n v="761"/>
    <n v="3718971"/>
    <x v="0"/>
    <n v="255609"/>
    <n v="182688"/>
  </r>
  <r>
    <x v="8"/>
    <x v="2"/>
    <x v="2"/>
    <n v="76661"/>
    <n v="548"/>
    <x v="80"/>
    <n v="477"/>
    <n v="5442931"/>
    <x v="0"/>
    <n v="384078"/>
    <n v="307417"/>
  </r>
  <r>
    <x v="9"/>
    <x v="0"/>
    <x v="0"/>
    <n v="35338"/>
    <n v="659"/>
    <x v="81"/>
    <n v="593"/>
    <n v="2332308"/>
    <x v="0"/>
    <n v="313632"/>
    <n v="278294"/>
  </r>
  <r>
    <x v="9"/>
    <x v="0"/>
    <x v="1"/>
    <n v="39508"/>
    <n v="809"/>
    <x v="82"/>
    <n v="736"/>
    <n v="2884084"/>
    <x v="1"/>
    <n v="379819"/>
    <n v="340311"/>
  </r>
  <r>
    <x v="9"/>
    <x v="0"/>
    <x v="2"/>
    <n v="74021"/>
    <n v="595"/>
    <x v="83"/>
    <n v="536"/>
    <n v="4367239"/>
    <x v="1"/>
    <n v="411810"/>
    <n v="337789"/>
  </r>
  <r>
    <x v="9"/>
    <x v="1"/>
    <x v="0"/>
    <n v="37019"/>
    <n v="629"/>
    <x v="84"/>
    <n v="581"/>
    <n v="1776912"/>
    <x v="0"/>
    <n v="286672"/>
    <n v="249653"/>
  </r>
  <r>
    <x v="9"/>
    <x v="1"/>
    <x v="1"/>
    <n v="48251"/>
    <n v="807"/>
    <x v="85"/>
    <n v="752"/>
    <n v="2653805"/>
    <x v="1"/>
    <n v="232217"/>
    <n v="183966"/>
  </r>
  <r>
    <x v="9"/>
    <x v="1"/>
    <x v="2"/>
    <n v="25949"/>
    <n v="522"/>
    <x v="86"/>
    <n v="484"/>
    <n v="986062"/>
    <x v="1"/>
    <n v="300235"/>
    <n v="274286"/>
  </r>
  <r>
    <x v="9"/>
    <x v="2"/>
    <x v="0"/>
    <n v="86617"/>
    <n v="600"/>
    <x v="87"/>
    <n v="524"/>
    <n v="6582892"/>
    <x v="0"/>
    <n v="377247"/>
    <n v="290630"/>
  </r>
  <r>
    <x v="9"/>
    <x v="2"/>
    <x v="1"/>
    <n v="25237"/>
    <n v="797"/>
    <x v="88"/>
    <n v="743"/>
    <n v="1362798"/>
    <x v="1"/>
    <n v="376615"/>
    <n v="351378"/>
  </r>
  <r>
    <x v="9"/>
    <x v="2"/>
    <x v="2"/>
    <n v="23343"/>
    <n v="560"/>
    <x v="89"/>
    <n v="492"/>
    <n v="1587324"/>
    <x v="1"/>
    <n v="229375"/>
    <n v="206032"/>
  </r>
  <r>
    <x v="10"/>
    <x v="0"/>
    <x v="0"/>
    <n v="36964"/>
    <n v="621"/>
    <x v="90"/>
    <n v="563"/>
    <n v="2143912"/>
    <x v="1"/>
    <n v="390710"/>
    <n v="353746"/>
  </r>
  <r>
    <x v="10"/>
    <x v="0"/>
    <x v="1"/>
    <n v="87215"/>
    <n v="835"/>
    <x v="91"/>
    <n v="777"/>
    <n v="5058470"/>
    <x v="1"/>
    <n v="209435"/>
    <n v="122220"/>
  </r>
  <r>
    <x v="10"/>
    <x v="0"/>
    <x v="2"/>
    <n v="64078"/>
    <n v="593"/>
    <x v="92"/>
    <n v="518"/>
    <n v="4805850"/>
    <x v="0"/>
    <n v="278781"/>
    <n v="214703"/>
  </r>
  <r>
    <x v="10"/>
    <x v="1"/>
    <x v="0"/>
    <n v="49124"/>
    <n v="675"/>
    <x v="93"/>
    <n v="630"/>
    <n v="2210580"/>
    <x v="0"/>
    <n v="439833"/>
    <n v="390709"/>
  </r>
  <r>
    <x v="10"/>
    <x v="1"/>
    <x v="1"/>
    <n v="55247"/>
    <n v="834"/>
    <x v="94"/>
    <n v="766"/>
    <n v="3756796"/>
    <x v="1"/>
    <n v="259101"/>
    <n v="203854"/>
  </r>
  <r>
    <x v="10"/>
    <x v="1"/>
    <x v="2"/>
    <n v="46646"/>
    <n v="509"/>
    <x v="95"/>
    <n v="475"/>
    <n v="1585964"/>
    <x v="0"/>
    <n v="268385"/>
    <n v="221739"/>
  </r>
  <r>
    <x v="10"/>
    <x v="2"/>
    <x v="0"/>
    <n v="60158"/>
    <n v="609"/>
    <x v="96"/>
    <n v="561"/>
    <n v="2887584"/>
    <x v="1"/>
    <n v="471967"/>
    <n v="411809"/>
  </r>
  <r>
    <x v="10"/>
    <x v="2"/>
    <x v="1"/>
    <n v="61975"/>
    <n v="818"/>
    <x v="97"/>
    <n v="744"/>
    <n v="4586150"/>
    <x v="0"/>
    <n v="227663"/>
    <n v="165688"/>
  </r>
  <r>
    <x v="10"/>
    <x v="2"/>
    <x v="2"/>
    <n v="77679"/>
    <n v="501"/>
    <x v="98"/>
    <n v="423"/>
    <n v="6058962"/>
    <x v="0"/>
    <n v="249115"/>
    <n v="171436"/>
  </r>
  <r>
    <x v="11"/>
    <x v="0"/>
    <x v="0"/>
    <n v="80890"/>
    <n v="683"/>
    <x v="99"/>
    <n v="630"/>
    <n v="4287170"/>
    <x v="0"/>
    <n v="390347"/>
    <n v="309457"/>
  </r>
  <r>
    <x v="11"/>
    <x v="0"/>
    <x v="1"/>
    <n v="31938"/>
    <n v="873"/>
    <x v="100"/>
    <n v="811"/>
    <n v="1980156"/>
    <x v="1"/>
    <n v="204000"/>
    <n v="172062"/>
  </r>
  <r>
    <x v="11"/>
    <x v="0"/>
    <x v="2"/>
    <n v="58304"/>
    <n v="539"/>
    <x v="101"/>
    <n v="500"/>
    <n v="2273856"/>
    <x v="0"/>
    <n v="282986"/>
    <n v="224682"/>
  </r>
  <r>
    <x v="11"/>
    <x v="1"/>
    <x v="0"/>
    <n v="40764"/>
    <n v="612"/>
    <x v="102"/>
    <n v="571"/>
    <n v="1671324"/>
    <x v="0"/>
    <n v="465517"/>
    <n v="424753"/>
  </r>
  <r>
    <x v="11"/>
    <x v="1"/>
    <x v="1"/>
    <n v="47350"/>
    <n v="830"/>
    <x v="103"/>
    <n v="775"/>
    <n v="2604250"/>
    <x v="1"/>
    <n v="225351"/>
    <n v="178001"/>
  </r>
  <r>
    <x v="11"/>
    <x v="1"/>
    <x v="2"/>
    <n v="35305"/>
    <n v="589"/>
    <x v="104"/>
    <n v="526"/>
    <n v="2224215"/>
    <x v="0"/>
    <n v="482502"/>
    <n v="447197"/>
  </r>
  <r>
    <x v="11"/>
    <x v="2"/>
    <x v="0"/>
    <n v="58513"/>
    <n v="674"/>
    <x v="105"/>
    <n v="616"/>
    <n v="3393754"/>
    <x v="0"/>
    <n v="207543"/>
    <n v="149030"/>
  </r>
  <r>
    <x v="11"/>
    <x v="2"/>
    <x v="1"/>
    <n v="53496"/>
    <n v="770"/>
    <x v="106"/>
    <n v="705"/>
    <n v="3477240"/>
    <x v="1"/>
    <n v="238756"/>
    <n v="185260"/>
  </r>
  <r>
    <x v="11"/>
    <x v="2"/>
    <x v="2"/>
    <n v="55735"/>
    <n v="563"/>
    <x v="107"/>
    <n v="499"/>
    <n v="3567040"/>
    <x v="1"/>
    <n v="314352"/>
    <n v="258617"/>
  </r>
  <r>
    <x v="12"/>
    <x v="0"/>
    <x v="0"/>
    <n v="37955"/>
    <n v="681"/>
    <x v="108"/>
    <n v="603"/>
    <n v="2960490"/>
    <x v="0"/>
    <n v="396582"/>
    <n v="358627"/>
  </r>
  <r>
    <x v="12"/>
    <x v="0"/>
    <x v="1"/>
    <n v="79031"/>
    <n v="786"/>
    <x v="109"/>
    <n v="745"/>
    <n v="3240271"/>
    <x v="1"/>
    <n v="367280"/>
    <n v="288249"/>
  </r>
  <r>
    <x v="12"/>
    <x v="0"/>
    <x v="2"/>
    <n v="63286"/>
    <n v="588"/>
    <x v="110"/>
    <n v="524"/>
    <n v="4050304"/>
    <x v="1"/>
    <n v="386141"/>
    <n v="322855"/>
  </r>
  <r>
    <x v="12"/>
    <x v="1"/>
    <x v="0"/>
    <n v="34397"/>
    <n v="683"/>
    <x v="111"/>
    <n v="606"/>
    <n v="2648569"/>
    <x v="1"/>
    <n v="319180"/>
    <n v="284783"/>
  </r>
  <r>
    <x v="12"/>
    <x v="1"/>
    <x v="1"/>
    <n v="59954"/>
    <n v="849"/>
    <x v="112"/>
    <n v="808"/>
    <n v="2458114"/>
    <x v="1"/>
    <n v="395004"/>
    <n v="335050"/>
  </r>
  <r>
    <x v="12"/>
    <x v="1"/>
    <x v="2"/>
    <n v="44466"/>
    <n v="575"/>
    <x v="113"/>
    <n v="537"/>
    <n v="1689708"/>
    <x v="0"/>
    <n v="259163"/>
    <n v="214697"/>
  </r>
  <r>
    <x v="12"/>
    <x v="2"/>
    <x v="0"/>
    <n v="71934"/>
    <n v="651"/>
    <x v="114"/>
    <n v="603"/>
    <n v="3452832"/>
    <x v="0"/>
    <n v="205486"/>
    <n v="133552"/>
  </r>
  <r>
    <x v="12"/>
    <x v="2"/>
    <x v="1"/>
    <n v="31130"/>
    <n v="802"/>
    <x v="115"/>
    <n v="750"/>
    <n v="1618760"/>
    <x v="1"/>
    <n v="397775"/>
    <n v="366645"/>
  </r>
  <r>
    <x v="12"/>
    <x v="2"/>
    <x v="2"/>
    <n v="21062"/>
    <n v="552"/>
    <x v="116"/>
    <n v="481"/>
    <n v="1495402"/>
    <x v="1"/>
    <n v="221689"/>
    <n v="200627"/>
  </r>
  <r>
    <x v="13"/>
    <x v="0"/>
    <x v="0"/>
    <n v="29348"/>
    <n v="634"/>
    <x v="117"/>
    <n v="582"/>
    <n v="1526096"/>
    <x v="1"/>
    <n v="274460"/>
    <n v="245112"/>
  </r>
  <r>
    <x v="13"/>
    <x v="0"/>
    <x v="1"/>
    <n v="26801"/>
    <n v="825"/>
    <x v="118"/>
    <n v="787"/>
    <n v="1018438"/>
    <x v="0"/>
    <n v="354697"/>
    <n v="327896"/>
  </r>
  <r>
    <x v="13"/>
    <x v="0"/>
    <x v="2"/>
    <n v="64261"/>
    <n v="506"/>
    <x v="119"/>
    <n v="431"/>
    <n v="4819575"/>
    <x v="0"/>
    <n v="377804"/>
    <n v="313543"/>
  </r>
  <r>
    <x v="13"/>
    <x v="1"/>
    <x v="0"/>
    <n v="59081"/>
    <n v="608"/>
    <x v="120"/>
    <n v="529"/>
    <n v="4667399"/>
    <x v="0"/>
    <n v="419930"/>
    <n v="360849"/>
  </r>
  <r>
    <x v="13"/>
    <x v="1"/>
    <x v="1"/>
    <n v="74693"/>
    <n v="832"/>
    <x v="121"/>
    <n v="795"/>
    <n v="2763641"/>
    <x v="1"/>
    <n v="213807"/>
    <n v="139114"/>
  </r>
  <r>
    <x v="13"/>
    <x v="1"/>
    <x v="2"/>
    <n v="46432"/>
    <n v="585"/>
    <x v="122"/>
    <n v="539"/>
    <n v="2135872"/>
    <x v="1"/>
    <n v="368152"/>
    <n v="321720"/>
  </r>
  <r>
    <x v="13"/>
    <x v="2"/>
    <x v="0"/>
    <n v="55909"/>
    <n v="630"/>
    <x v="123"/>
    <n v="582"/>
    <n v="2683632"/>
    <x v="0"/>
    <n v="403196"/>
    <n v="347287"/>
  </r>
  <r>
    <x v="13"/>
    <x v="2"/>
    <x v="1"/>
    <n v="46790"/>
    <n v="840"/>
    <x v="124"/>
    <n v="801"/>
    <n v="1824810"/>
    <x v="1"/>
    <n v="424786"/>
    <n v="377996"/>
  </r>
  <r>
    <x v="13"/>
    <x v="2"/>
    <x v="2"/>
    <n v="35485"/>
    <n v="566"/>
    <x v="125"/>
    <n v="492"/>
    <n v="2625890"/>
    <x v="0"/>
    <n v="204748"/>
    <n v="169263"/>
  </r>
  <r>
    <x v="14"/>
    <x v="0"/>
    <x v="0"/>
    <n v="29435"/>
    <n v="657"/>
    <x v="126"/>
    <n v="608"/>
    <n v="1442315"/>
    <x v="0"/>
    <n v="386843"/>
    <n v="357408"/>
  </r>
  <r>
    <x v="14"/>
    <x v="0"/>
    <x v="1"/>
    <n v="33116"/>
    <n v="876"/>
    <x v="127"/>
    <n v="806"/>
    <n v="2318120"/>
    <x v="1"/>
    <n v="239298"/>
    <n v="206182"/>
  </r>
  <r>
    <x v="14"/>
    <x v="0"/>
    <x v="2"/>
    <n v="81629"/>
    <n v="562"/>
    <x v="128"/>
    <n v="484"/>
    <n v="6367062"/>
    <x v="0"/>
    <n v="223960"/>
    <n v="142331"/>
  </r>
  <r>
    <x v="14"/>
    <x v="1"/>
    <x v="0"/>
    <n v="87641"/>
    <n v="643"/>
    <x v="129"/>
    <n v="569"/>
    <n v="6485434"/>
    <x v="1"/>
    <n v="329695"/>
    <n v="242054"/>
  </r>
  <r>
    <x v="14"/>
    <x v="1"/>
    <x v="1"/>
    <n v="54620"/>
    <n v="796"/>
    <x v="130"/>
    <n v="746"/>
    <n v="2731000"/>
    <x v="0"/>
    <n v="482703"/>
    <n v="428083"/>
  </r>
  <r>
    <x v="14"/>
    <x v="1"/>
    <x v="2"/>
    <n v="81642"/>
    <n v="535"/>
    <x v="131"/>
    <n v="471"/>
    <n v="5225088"/>
    <x v="1"/>
    <n v="475987"/>
    <n v="394345"/>
  </r>
  <r>
    <x v="14"/>
    <x v="2"/>
    <x v="0"/>
    <n v="37640"/>
    <n v="648"/>
    <x v="132"/>
    <n v="605"/>
    <n v="1618520"/>
    <x v="1"/>
    <n v="459214"/>
    <n v="421574"/>
  </r>
  <r>
    <x v="14"/>
    <x v="2"/>
    <x v="1"/>
    <n v="72736"/>
    <n v="866"/>
    <x v="133"/>
    <n v="834"/>
    <n v="2327552"/>
    <x v="1"/>
    <n v="350159"/>
    <n v="277423"/>
  </r>
  <r>
    <x v="14"/>
    <x v="2"/>
    <x v="2"/>
    <n v="44504"/>
    <n v="574"/>
    <x v="134"/>
    <n v="533"/>
    <n v="1824664"/>
    <x v="0"/>
    <n v="211023"/>
    <n v="166519"/>
  </r>
  <r>
    <x v="15"/>
    <x v="0"/>
    <x v="0"/>
    <n v="43959"/>
    <n v="627"/>
    <x v="135"/>
    <n v="590"/>
    <n v="1626483"/>
    <x v="0"/>
    <n v="209337"/>
    <n v="165378"/>
  </r>
  <r>
    <x v="15"/>
    <x v="0"/>
    <x v="1"/>
    <n v="81529"/>
    <n v="885"/>
    <x v="136"/>
    <n v="806"/>
    <n v="6440791"/>
    <x v="0"/>
    <n v="495451"/>
    <n v="413922"/>
  </r>
  <r>
    <x v="15"/>
    <x v="0"/>
    <x v="2"/>
    <n v="24835"/>
    <n v="563"/>
    <x v="137"/>
    <n v="507"/>
    <n v="1390760"/>
    <x v="1"/>
    <n v="378677"/>
    <n v="353842"/>
  </r>
  <r>
    <x v="15"/>
    <x v="1"/>
    <x v="0"/>
    <n v="58088"/>
    <n v="632"/>
    <x v="138"/>
    <n v="583"/>
    <n v="2846312"/>
    <x v="0"/>
    <n v="366619"/>
    <n v="308531"/>
  </r>
  <r>
    <x v="15"/>
    <x v="1"/>
    <x v="1"/>
    <n v="47532"/>
    <n v="795"/>
    <x v="139"/>
    <n v="731"/>
    <n v="3042048"/>
    <x v="0"/>
    <n v="318012"/>
    <n v="270480"/>
  </r>
  <r>
    <x v="15"/>
    <x v="1"/>
    <x v="2"/>
    <n v="25713"/>
    <n v="568"/>
    <x v="140"/>
    <n v="492"/>
    <n v="1954188"/>
    <x v="0"/>
    <n v="329473"/>
    <n v="303760"/>
  </r>
  <r>
    <x v="15"/>
    <x v="2"/>
    <x v="0"/>
    <n v="78141"/>
    <n v="604"/>
    <x v="141"/>
    <n v="542"/>
    <n v="4844742"/>
    <x v="1"/>
    <n v="261813"/>
    <n v="183672"/>
  </r>
  <r>
    <x v="15"/>
    <x v="2"/>
    <x v="1"/>
    <n v="28415"/>
    <n v="760"/>
    <x v="142"/>
    <n v="710"/>
    <n v="1420750"/>
    <x v="1"/>
    <n v="485977"/>
    <n v="457562"/>
  </r>
  <r>
    <x v="15"/>
    <x v="2"/>
    <x v="2"/>
    <n v="82680"/>
    <n v="585"/>
    <x v="143"/>
    <n v="529"/>
    <n v="4630080"/>
    <x v="0"/>
    <n v="351456"/>
    <n v="268776"/>
  </r>
  <r>
    <x v="16"/>
    <x v="0"/>
    <x v="0"/>
    <n v="28702"/>
    <n v="600"/>
    <x v="144"/>
    <n v="550"/>
    <n v="1435100"/>
    <x v="0"/>
    <n v="378998"/>
    <n v="350296"/>
  </r>
  <r>
    <x v="16"/>
    <x v="0"/>
    <x v="1"/>
    <n v="32763"/>
    <n v="844"/>
    <x v="145"/>
    <n v="810"/>
    <n v="1113942"/>
    <x v="1"/>
    <n v="435365"/>
    <n v="402602"/>
  </r>
  <r>
    <x v="16"/>
    <x v="0"/>
    <x v="2"/>
    <n v="70612"/>
    <n v="522"/>
    <x v="146"/>
    <n v="456"/>
    <n v="4660392"/>
    <x v="1"/>
    <n v="400244"/>
    <n v="329632"/>
  </r>
  <r>
    <x v="16"/>
    <x v="1"/>
    <x v="0"/>
    <n v="24809"/>
    <n v="673"/>
    <x v="147"/>
    <n v="625"/>
    <n v="1190832"/>
    <x v="1"/>
    <n v="344528"/>
    <n v="319719"/>
  </r>
  <r>
    <x v="16"/>
    <x v="1"/>
    <x v="1"/>
    <n v="76397"/>
    <n v="859"/>
    <x v="148"/>
    <n v="829"/>
    <n v="2291910"/>
    <x v="1"/>
    <n v="221949"/>
    <n v="145552"/>
  </r>
  <r>
    <x v="16"/>
    <x v="1"/>
    <x v="2"/>
    <n v="57744"/>
    <n v="531"/>
    <x v="149"/>
    <n v="468"/>
    <n v="3637872"/>
    <x v="1"/>
    <n v="236187"/>
    <n v="178443"/>
  </r>
  <r>
    <x v="16"/>
    <x v="2"/>
    <x v="0"/>
    <n v="27239"/>
    <n v="638"/>
    <x v="150"/>
    <n v="583"/>
    <n v="1498145"/>
    <x v="0"/>
    <n v="389089"/>
    <n v="361850"/>
  </r>
  <r>
    <x v="16"/>
    <x v="2"/>
    <x v="1"/>
    <n v="63125"/>
    <n v="752"/>
    <x v="151"/>
    <n v="673"/>
    <n v="4986875"/>
    <x v="1"/>
    <n v="237131"/>
    <n v="174006"/>
  </r>
  <r>
    <x v="16"/>
    <x v="2"/>
    <x v="2"/>
    <n v="44285"/>
    <n v="556"/>
    <x v="152"/>
    <n v="510"/>
    <n v="2037110"/>
    <x v="1"/>
    <n v="481342"/>
    <n v="437057"/>
  </r>
  <r>
    <x v="17"/>
    <x v="0"/>
    <x v="0"/>
    <n v="35254"/>
    <n v="678"/>
    <x v="153"/>
    <n v="612"/>
    <n v="2326764"/>
    <x v="0"/>
    <n v="281317"/>
    <n v="246063"/>
  </r>
  <r>
    <x v="17"/>
    <x v="0"/>
    <x v="1"/>
    <n v="26949"/>
    <n v="799"/>
    <x v="154"/>
    <n v="736"/>
    <n v="1697787"/>
    <x v="0"/>
    <n v="404625"/>
    <n v="377676"/>
  </r>
  <r>
    <x v="17"/>
    <x v="0"/>
    <x v="2"/>
    <n v="45934"/>
    <n v="590"/>
    <x v="155"/>
    <n v="527"/>
    <n v="2893842"/>
    <x v="0"/>
    <n v="450875"/>
    <n v="404941"/>
  </r>
  <r>
    <x v="17"/>
    <x v="1"/>
    <x v="0"/>
    <n v="72329"/>
    <n v="650"/>
    <x v="156"/>
    <n v="604"/>
    <n v="3327134"/>
    <x v="1"/>
    <n v="447940"/>
    <n v="375611"/>
  </r>
  <r>
    <x v="17"/>
    <x v="1"/>
    <x v="1"/>
    <n v="59811"/>
    <n v="887"/>
    <x v="157"/>
    <n v="841"/>
    <n v="2751306"/>
    <x v="1"/>
    <n v="418441"/>
    <n v="358630"/>
  </r>
  <r>
    <x v="17"/>
    <x v="1"/>
    <x v="2"/>
    <n v="39963"/>
    <n v="583"/>
    <x v="158"/>
    <n v="530"/>
    <n v="2118039"/>
    <x v="0"/>
    <n v="423777"/>
    <n v="383814"/>
  </r>
  <r>
    <x v="17"/>
    <x v="2"/>
    <x v="0"/>
    <n v="34388"/>
    <n v="665"/>
    <x v="159"/>
    <n v="623"/>
    <n v="1444296"/>
    <x v="1"/>
    <n v="304573"/>
    <n v="270185"/>
  </r>
  <r>
    <x v="17"/>
    <x v="2"/>
    <x v="1"/>
    <n v="32015"/>
    <n v="864"/>
    <x v="160"/>
    <n v="788"/>
    <n v="2433140"/>
    <x v="1"/>
    <n v="355286"/>
    <n v="323271"/>
  </r>
  <r>
    <x v="17"/>
    <x v="2"/>
    <x v="2"/>
    <n v="26090"/>
    <n v="515"/>
    <x v="161"/>
    <n v="478"/>
    <n v="965330"/>
    <x v="0"/>
    <n v="258243"/>
    <n v="232153"/>
  </r>
  <r>
    <x v="18"/>
    <x v="0"/>
    <x v="0"/>
    <n v="61240"/>
    <n v="666"/>
    <x v="162"/>
    <n v="605"/>
    <n v="3735640"/>
    <x v="0"/>
    <n v="228732"/>
    <n v="167492"/>
  </r>
  <r>
    <x v="18"/>
    <x v="0"/>
    <x v="1"/>
    <n v="31314"/>
    <n v="896"/>
    <x v="163"/>
    <n v="846"/>
    <n v="1565700"/>
    <x v="0"/>
    <n v="311195"/>
    <n v="279881"/>
  </r>
  <r>
    <x v="18"/>
    <x v="0"/>
    <x v="2"/>
    <n v="56668"/>
    <n v="521"/>
    <x v="164"/>
    <n v="471"/>
    <n v="2833400"/>
    <x v="1"/>
    <n v="239749"/>
    <n v="183081"/>
  </r>
  <r>
    <x v="18"/>
    <x v="1"/>
    <x v="0"/>
    <n v="36907"/>
    <n v="689"/>
    <x v="165"/>
    <n v="614"/>
    <n v="2768025"/>
    <x v="1"/>
    <n v="251745"/>
    <n v="214838"/>
  </r>
  <r>
    <x v="18"/>
    <x v="1"/>
    <x v="1"/>
    <n v="43624"/>
    <n v="775"/>
    <x v="166"/>
    <n v="699"/>
    <n v="3315424"/>
    <x v="1"/>
    <n v="374293"/>
    <n v="330669"/>
  </r>
  <r>
    <x v="18"/>
    <x v="1"/>
    <x v="2"/>
    <n v="75645"/>
    <n v="562"/>
    <x v="167"/>
    <n v="485"/>
    <n v="5824665"/>
    <x v="1"/>
    <n v="383868"/>
    <n v="308223"/>
  </r>
  <r>
    <x v="18"/>
    <x v="2"/>
    <x v="0"/>
    <n v="84291"/>
    <n v="600"/>
    <x v="168"/>
    <n v="563"/>
    <n v="3118767"/>
    <x v="1"/>
    <n v="418803"/>
    <n v="334512"/>
  </r>
  <r>
    <x v="18"/>
    <x v="2"/>
    <x v="1"/>
    <n v="20302"/>
    <n v="876"/>
    <x v="169"/>
    <n v="825"/>
    <n v="1035402"/>
    <x v="0"/>
    <n v="339789"/>
    <n v="319487"/>
  </r>
  <r>
    <x v="18"/>
    <x v="2"/>
    <x v="2"/>
    <n v="48699"/>
    <n v="586"/>
    <x v="170"/>
    <n v="543"/>
    <n v="2094057"/>
    <x v="0"/>
    <n v="244247"/>
    <n v="195548"/>
  </r>
  <r>
    <x v="19"/>
    <x v="0"/>
    <x v="0"/>
    <n v="36748"/>
    <n v="625"/>
    <x v="171"/>
    <n v="582"/>
    <n v="1580164"/>
    <x v="0"/>
    <n v="346106"/>
    <n v="309358"/>
  </r>
  <r>
    <x v="19"/>
    <x v="0"/>
    <x v="1"/>
    <n v="25126"/>
    <n v="752"/>
    <x v="172"/>
    <n v="676"/>
    <n v="1909576"/>
    <x v="0"/>
    <n v="238638"/>
    <n v="213512"/>
  </r>
  <r>
    <x v="19"/>
    <x v="0"/>
    <x v="2"/>
    <n v="54674"/>
    <n v="514"/>
    <x v="173"/>
    <n v="460"/>
    <n v="2952396"/>
    <x v="0"/>
    <n v="341339"/>
    <n v="286665"/>
  </r>
  <r>
    <x v="19"/>
    <x v="1"/>
    <x v="0"/>
    <n v="21062"/>
    <n v="656"/>
    <x v="174"/>
    <n v="610"/>
    <n v="968852"/>
    <x v="0"/>
    <n v="295462"/>
    <n v="274400"/>
  </r>
  <r>
    <x v="19"/>
    <x v="1"/>
    <x v="1"/>
    <n v="76793"/>
    <n v="875"/>
    <x v="175"/>
    <n v="802"/>
    <n v="5605889"/>
    <x v="1"/>
    <n v="466776"/>
    <n v="389983"/>
  </r>
  <r>
    <x v="19"/>
    <x v="1"/>
    <x v="2"/>
    <n v="23596"/>
    <n v="583"/>
    <x v="176"/>
    <n v="529"/>
    <n v="1274184"/>
    <x v="0"/>
    <n v="308099"/>
    <n v="284503"/>
  </r>
  <r>
    <x v="19"/>
    <x v="2"/>
    <x v="0"/>
    <n v="46734"/>
    <n v="699"/>
    <x v="177"/>
    <n v="623"/>
    <n v="3551784"/>
    <x v="0"/>
    <n v="226069"/>
    <n v="179335"/>
  </r>
  <r>
    <x v="19"/>
    <x v="2"/>
    <x v="1"/>
    <n v="32910"/>
    <n v="757"/>
    <x v="178"/>
    <n v="688"/>
    <n v="2270790"/>
    <x v="0"/>
    <n v="281264"/>
    <n v="248354"/>
  </r>
  <r>
    <x v="19"/>
    <x v="2"/>
    <x v="2"/>
    <n v="80004"/>
    <n v="505"/>
    <x v="179"/>
    <n v="450"/>
    <n v="4400220"/>
    <x v="0"/>
    <n v="248447"/>
    <n v="168443"/>
  </r>
  <r>
    <x v="20"/>
    <x v="0"/>
    <x v="0"/>
    <n v="37260"/>
    <n v="669"/>
    <x v="180"/>
    <n v="603"/>
    <n v="2459160"/>
    <x v="1"/>
    <n v="389728"/>
    <n v="352468"/>
  </r>
  <r>
    <x v="20"/>
    <x v="0"/>
    <x v="1"/>
    <n v="47285"/>
    <n v="770"/>
    <x v="181"/>
    <n v="735"/>
    <n v="1654975"/>
    <x v="1"/>
    <n v="201605"/>
    <n v="154320"/>
  </r>
  <r>
    <x v="20"/>
    <x v="0"/>
    <x v="2"/>
    <n v="47139"/>
    <n v="593"/>
    <x v="182"/>
    <n v="553"/>
    <n v="1885560"/>
    <x v="0"/>
    <n v="461949"/>
    <n v="414810"/>
  </r>
  <r>
    <x v="20"/>
    <x v="1"/>
    <x v="0"/>
    <n v="33918"/>
    <n v="623"/>
    <x v="183"/>
    <n v="585"/>
    <n v="1288884"/>
    <x v="1"/>
    <n v="344118"/>
    <n v="310200"/>
  </r>
  <r>
    <x v="20"/>
    <x v="1"/>
    <x v="1"/>
    <n v="44818"/>
    <n v="780"/>
    <x v="184"/>
    <n v="711"/>
    <n v="3092442"/>
    <x v="0"/>
    <n v="466468"/>
    <n v="421650"/>
  </r>
  <r>
    <x v="20"/>
    <x v="1"/>
    <x v="2"/>
    <n v="29111"/>
    <n v="594"/>
    <x v="185"/>
    <n v="559"/>
    <n v="1018885"/>
    <x v="0"/>
    <n v="322177"/>
    <n v="293066"/>
  </r>
  <r>
    <x v="20"/>
    <x v="2"/>
    <x v="0"/>
    <n v="48746"/>
    <n v="603"/>
    <x v="186"/>
    <n v="559"/>
    <n v="2144824"/>
    <x v="0"/>
    <n v="438213"/>
    <n v="389467"/>
  </r>
  <r>
    <x v="20"/>
    <x v="2"/>
    <x v="1"/>
    <n v="33234"/>
    <n v="811"/>
    <x v="187"/>
    <n v="780"/>
    <n v="1030254"/>
    <x v="1"/>
    <n v="200846"/>
    <n v="167612"/>
  </r>
  <r>
    <x v="20"/>
    <x v="2"/>
    <x v="2"/>
    <n v="66514"/>
    <n v="544"/>
    <x v="188"/>
    <n v="471"/>
    <n v="4855522"/>
    <x v="0"/>
    <n v="337541"/>
    <n v="271027"/>
  </r>
  <r>
    <x v="21"/>
    <x v="0"/>
    <x v="0"/>
    <n v="62101"/>
    <n v="667"/>
    <x v="189"/>
    <n v="619"/>
    <n v="2980848"/>
    <x v="1"/>
    <n v="389139"/>
    <n v="327038"/>
  </r>
  <r>
    <x v="21"/>
    <x v="0"/>
    <x v="1"/>
    <n v="65587"/>
    <n v="862"/>
    <x v="190"/>
    <n v="821"/>
    <n v="2689067"/>
    <x v="0"/>
    <n v="304537"/>
    <n v="238950"/>
  </r>
  <r>
    <x v="21"/>
    <x v="0"/>
    <x v="2"/>
    <n v="62533"/>
    <n v="536"/>
    <x v="191"/>
    <n v="496"/>
    <n v="2501320"/>
    <x v="0"/>
    <n v="232254"/>
    <n v="169721"/>
  </r>
  <r>
    <x v="21"/>
    <x v="1"/>
    <x v="0"/>
    <n v="67362"/>
    <n v="632"/>
    <x v="192"/>
    <n v="597"/>
    <n v="2357670"/>
    <x v="0"/>
    <n v="442353"/>
    <n v="374991"/>
  </r>
  <r>
    <x v="21"/>
    <x v="1"/>
    <x v="1"/>
    <n v="85545"/>
    <n v="754"/>
    <x v="193"/>
    <n v="702"/>
    <n v="4448340"/>
    <x v="0"/>
    <n v="205287"/>
    <n v="119742"/>
  </r>
  <r>
    <x v="21"/>
    <x v="1"/>
    <x v="2"/>
    <n v="54387"/>
    <n v="564"/>
    <x v="194"/>
    <n v="498"/>
    <n v="3589542"/>
    <x v="1"/>
    <n v="308872"/>
    <n v="254485"/>
  </r>
  <r>
    <x v="21"/>
    <x v="2"/>
    <x v="0"/>
    <n v="46614"/>
    <n v="634"/>
    <x v="195"/>
    <n v="575"/>
    <n v="2750226"/>
    <x v="1"/>
    <n v="242078"/>
    <n v="195464"/>
  </r>
  <r>
    <x v="21"/>
    <x v="2"/>
    <x v="1"/>
    <n v="32219"/>
    <n v="827"/>
    <x v="196"/>
    <n v="787"/>
    <n v="1288760"/>
    <x v="0"/>
    <n v="396513"/>
    <n v="364294"/>
  </r>
  <r>
    <x v="21"/>
    <x v="2"/>
    <x v="2"/>
    <n v="25415"/>
    <n v="563"/>
    <x v="197"/>
    <n v="512"/>
    <n v="1296165"/>
    <x v="1"/>
    <n v="337023"/>
    <n v="311608"/>
  </r>
  <r>
    <x v="22"/>
    <x v="0"/>
    <x v="0"/>
    <n v="28007"/>
    <n v="610"/>
    <x v="198"/>
    <n v="540"/>
    <n v="1960490"/>
    <x v="0"/>
    <n v="258596"/>
    <n v="230589"/>
  </r>
  <r>
    <x v="22"/>
    <x v="0"/>
    <x v="1"/>
    <n v="50523"/>
    <n v="779"/>
    <x v="199"/>
    <n v="715"/>
    <n v="3233472"/>
    <x v="1"/>
    <n v="215524"/>
    <n v="165001"/>
  </r>
  <r>
    <x v="22"/>
    <x v="0"/>
    <x v="2"/>
    <n v="39282"/>
    <n v="577"/>
    <x v="200"/>
    <n v="522"/>
    <n v="2160510"/>
    <x v="0"/>
    <n v="325501"/>
    <n v="286219"/>
  </r>
  <r>
    <x v="22"/>
    <x v="1"/>
    <x v="0"/>
    <n v="36984"/>
    <n v="641"/>
    <x v="201"/>
    <n v="587"/>
    <n v="1997136"/>
    <x v="1"/>
    <n v="390279"/>
    <n v="353295"/>
  </r>
  <r>
    <x v="22"/>
    <x v="1"/>
    <x v="1"/>
    <n v="49287"/>
    <n v="763"/>
    <x v="202"/>
    <n v="702"/>
    <n v="3006507"/>
    <x v="1"/>
    <n v="343026"/>
    <n v="293739"/>
  </r>
  <r>
    <x v="22"/>
    <x v="1"/>
    <x v="2"/>
    <n v="38574"/>
    <n v="596"/>
    <x v="203"/>
    <n v="542"/>
    <n v="2082996"/>
    <x v="1"/>
    <n v="267728"/>
    <n v="229154"/>
  </r>
  <r>
    <x v="22"/>
    <x v="2"/>
    <x v="0"/>
    <n v="31246"/>
    <n v="665"/>
    <x v="204"/>
    <n v="622"/>
    <n v="1343578"/>
    <x v="1"/>
    <n v="292263"/>
    <n v="261017"/>
  </r>
  <r>
    <x v="22"/>
    <x v="2"/>
    <x v="1"/>
    <n v="31302"/>
    <n v="883"/>
    <x v="205"/>
    <n v="851"/>
    <n v="1001664"/>
    <x v="1"/>
    <n v="296646"/>
    <n v="265344"/>
  </r>
  <r>
    <x v="22"/>
    <x v="2"/>
    <x v="2"/>
    <n v="44519"/>
    <n v="541"/>
    <x v="206"/>
    <n v="497"/>
    <n v="1958836"/>
    <x v="0"/>
    <n v="467552"/>
    <n v="423033"/>
  </r>
  <r>
    <x v="23"/>
    <x v="0"/>
    <x v="0"/>
    <n v="45053"/>
    <n v="626"/>
    <x v="207"/>
    <n v="561"/>
    <n v="2928445"/>
    <x v="0"/>
    <n v="251356"/>
    <n v="206303"/>
  </r>
  <r>
    <x v="23"/>
    <x v="0"/>
    <x v="1"/>
    <n v="86656"/>
    <n v="782"/>
    <x v="208"/>
    <n v="749"/>
    <n v="2859648"/>
    <x v="0"/>
    <n v="481173"/>
    <n v="394517"/>
  </r>
  <r>
    <x v="23"/>
    <x v="0"/>
    <x v="2"/>
    <n v="52265"/>
    <n v="504"/>
    <x v="209"/>
    <n v="465"/>
    <n v="2038335"/>
    <x v="0"/>
    <n v="374944"/>
    <n v="322679"/>
  </r>
  <r>
    <x v="23"/>
    <x v="1"/>
    <x v="0"/>
    <n v="75180"/>
    <n v="630"/>
    <x v="210"/>
    <n v="554"/>
    <n v="5713680"/>
    <x v="1"/>
    <n v="271907"/>
    <n v="196727"/>
  </r>
  <r>
    <x v="23"/>
    <x v="1"/>
    <x v="1"/>
    <n v="84435"/>
    <n v="764"/>
    <x v="211"/>
    <n v="706"/>
    <n v="4897230"/>
    <x v="1"/>
    <n v="482247"/>
    <n v="397812"/>
  </r>
  <r>
    <x v="23"/>
    <x v="1"/>
    <x v="2"/>
    <n v="34382"/>
    <n v="567"/>
    <x v="212"/>
    <n v="526"/>
    <n v="1409662"/>
    <x v="0"/>
    <n v="334828"/>
    <n v="300446"/>
  </r>
  <r>
    <x v="23"/>
    <x v="2"/>
    <x v="0"/>
    <n v="36478"/>
    <n v="635"/>
    <x v="213"/>
    <n v="570"/>
    <n v="2371070"/>
    <x v="1"/>
    <n v="330330"/>
    <n v="293852"/>
  </r>
  <r>
    <x v="23"/>
    <x v="2"/>
    <x v="1"/>
    <n v="34153"/>
    <n v="853"/>
    <x v="214"/>
    <n v="786"/>
    <n v="2288251"/>
    <x v="0"/>
    <n v="440773"/>
    <n v="406620"/>
  </r>
  <r>
    <x v="23"/>
    <x v="2"/>
    <x v="2"/>
    <n v="75318"/>
    <n v="546"/>
    <x v="215"/>
    <n v="491"/>
    <n v="4142490"/>
    <x v="1"/>
    <n v="276077"/>
    <n v="200759"/>
  </r>
  <r>
    <x v="24"/>
    <x v="0"/>
    <x v="0"/>
    <n v="22443"/>
    <n v="689"/>
    <x v="216"/>
    <n v="647"/>
    <n v="942606"/>
    <x v="0"/>
    <n v="325885"/>
    <n v="303442"/>
  </r>
  <r>
    <x v="24"/>
    <x v="0"/>
    <x v="1"/>
    <n v="37368"/>
    <n v="860"/>
    <x v="217"/>
    <n v="791"/>
    <n v="2578392"/>
    <x v="1"/>
    <n v="430203"/>
    <n v="392835"/>
  </r>
  <r>
    <x v="24"/>
    <x v="0"/>
    <x v="2"/>
    <n v="59915"/>
    <n v="599"/>
    <x v="218"/>
    <n v="522"/>
    <n v="4613455"/>
    <x v="0"/>
    <n v="395716"/>
    <n v="335801"/>
  </r>
  <r>
    <x v="24"/>
    <x v="1"/>
    <x v="0"/>
    <n v="73028"/>
    <n v="671"/>
    <x v="219"/>
    <n v="600"/>
    <n v="5184988"/>
    <x v="0"/>
    <n v="227632"/>
    <n v="154604"/>
  </r>
  <r>
    <x v="24"/>
    <x v="1"/>
    <x v="1"/>
    <n v="85310"/>
    <n v="871"/>
    <x v="220"/>
    <n v="833"/>
    <n v="3241780"/>
    <x v="1"/>
    <n v="450869"/>
    <n v="365559"/>
  </r>
  <r>
    <x v="24"/>
    <x v="1"/>
    <x v="2"/>
    <n v="64327"/>
    <n v="540"/>
    <x v="221"/>
    <n v="489"/>
    <n v="3280677"/>
    <x v="1"/>
    <n v="378954"/>
    <n v="314627"/>
  </r>
  <r>
    <x v="24"/>
    <x v="2"/>
    <x v="0"/>
    <n v="54560"/>
    <n v="645"/>
    <x v="222"/>
    <n v="579"/>
    <n v="3600960"/>
    <x v="0"/>
    <n v="332717"/>
    <n v="278157"/>
  </r>
  <r>
    <x v="24"/>
    <x v="2"/>
    <x v="1"/>
    <n v="39256"/>
    <n v="750"/>
    <x v="223"/>
    <n v="681"/>
    <n v="2708664"/>
    <x v="1"/>
    <n v="342766"/>
    <n v="303510"/>
  </r>
  <r>
    <x v="24"/>
    <x v="2"/>
    <x v="2"/>
    <n v="77545"/>
    <n v="551"/>
    <x v="224"/>
    <n v="496"/>
    <n v="4264975"/>
    <x v="1"/>
    <n v="213224"/>
    <n v="135679"/>
  </r>
  <r>
    <x v="25"/>
    <x v="0"/>
    <x v="0"/>
    <n v="45150"/>
    <n v="624"/>
    <x v="225"/>
    <n v="569"/>
    <n v="2483250"/>
    <x v="0"/>
    <n v="439690"/>
    <n v="394540"/>
  </r>
  <r>
    <x v="25"/>
    <x v="0"/>
    <x v="1"/>
    <n v="28577"/>
    <n v="884"/>
    <x v="226"/>
    <n v="837"/>
    <n v="1343119"/>
    <x v="0"/>
    <n v="208666"/>
    <n v="180089"/>
  </r>
  <r>
    <x v="25"/>
    <x v="0"/>
    <x v="2"/>
    <n v="56368"/>
    <n v="542"/>
    <x v="227"/>
    <n v="469"/>
    <n v="4114864"/>
    <x v="1"/>
    <n v="327738"/>
    <n v="271370"/>
  </r>
  <r>
    <x v="25"/>
    <x v="1"/>
    <x v="0"/>
    <n v="87526"/>
    <n v="651"/>
    <x v="228"/>
    <n v="616"/>
    <n v="3063410"/>
    <x v="0"/>
    <n v="482100"/>
    <n v="394574"/>
  </r>
  <r>
    <x v="25"/>
    <x v="1"/>
    <x v="1"/>
    <n v="66240"/>
    <n v="778"/>
    <x v="229"/>
    <n v="706"/>
    <n v="4769280"/>
    <x v="0"/>
    <n v="466901"/>
    <n v="400661"/>
  </r>
  <r>
    <x v="25"/>
    <x v="1"/>
    <x v="2"/>
    <n v="30395"/>
    <n v="584"/>
    <x v="230"/>
    <n v="506"/>
    <n v="2370810"/>
    <x v="1"/>
    <n v="446726"/>
    <n v="416331"/>
  </r>
  <r>
    <x v="25"/>
    <x v="2"/>
    <x v="0"/>
    <n v="66163"/>
    <n v="648"/>
    <x v="231"/>
    <n v="599"/>
    <n v="3241987"/>
    <x v="0"/>
    <n v="355989"/>
    <n v="289826"/>
  </r>
  <r>
    <x v="25"/>
    <x v="2"/>
    <x v="1"/>
    <n v="41566"/>
    <n v="853"/>
    <x v="232"/>
    <n v="775"/>
    <n v="3242148"/>
    <x v="1"/>
    <n v="351878"/>
    <n v="310312"/>
  </r>
  <r>
    <x v="25"/>
    <x v="2"/>
    <x v="2"/>
    <n v="21759"/>
    <n v="512"/>
    <x v="233"/>
    <n v="453"/>
    <n v="1283781"/>
    <x v="1"/>
    <n v="333554"/>
    <n v="311795"/>
  </r>
  <r>
    <x v="26"/>
    <x v="0"/>
    <x v="0"/>
    <n v="53719"/>
    <n v="682"/>
    <x v="234"/>
    <n v="621"/>
    <n v="3276859"/>
    <x v="1"/>
    <n v="259676"/>
    <n v="205957"/>
  </r>
  <r>
    <x v="26"/>
    <x v="0"/>
    <x v="1"/>
    <n v="62460"/>
    <n v="779"/>
    <x v="235"/>
    <n v="734"/>
    <n v="2810700"/>
    <x v="1"/>
    <n v="293607"/>
    <n v="231147"/>
  </r>
  <r>
    <x v="26"/>
    <x v="0"/>
    <x v="2"/>
    <n v="38449"/>
    <n v="500"/>
    <x v="236"/>
    <n v="457"/>
    <n v="1653307"/>
    <x v="0"/>
    <n v="379374"/>
    <n v="340925"/>
  </r>
  <r>
    <x v="26"/>
    <x v="1"/>
    <x v="0"/>
    <n v="48865"/>
    <n v="691"/>
    <x v="237"/>
    <n v="613"/>
    <n v="3811470"/>
    <x v="0"/>
    <n v="226737"/>
    <n v="177872"/>
  </r>
  <r>
    <x v="26"/>
    <x v="1"/>
    <x v="1"/>
    <n v="58565"/>
    <n v="812"/>
    <x v="238"/>
    <n v="779"/>
    <n v="1932645"/>
    <x v="0"/>
    <n v="386240"/>
    <n v="327675"/>
  </r>
  <r>
    <x v="26"/>
    <x v="1"/>
    <x v="2"/>
    <n v="32342"/>
    <n v="502"/>
    <x v="239"/>
    <n v="441"/>
    <n v="1972862"/>
    <x v="1"/>
    <n v="383675"/>
    <n v="351333"/>
  </r>
  <r>
    <x v="26"/>
    <x v="2"/>
    <x v="0"/>
    <n v="46399"/>
    <n v="649"/>
    <x v="240"/>
    <n v="613"/>
    <n v="1670364"/>
    <x v="1"/>
    <n v="309575"/>
    <n v="263176"/>
  </r>
  <r>
    <x v="26"/>
    <x v="2"/>
    <x v="1"/>
    <n v="75106"/>
    <n v="821"/>
    <x v="241"/>
    <n v="745"/>
    <n v="5708056"/>
    <x v="1"/>
    <n v="239986"/>
    <n v="164880"/>
  </r>
  <r>
    <x v="26"/>
    <x v="2"/>
    <x v="2"/>
    <n v="84929"/>
    <n v="534"/>
    <x v="242"/>
    <n v="473"/>
    <n v="5180669"/>
    <x v="0"/>
    <n v="406111"/>
    <n v="321182"/>
  </r>
  <r>
    <x v="27"/>
    <x v="0"/>
    <x v="0"/>
    <n v="32175"/>
    <n v="667"/>
    <x v="243"/>
    <n v="601"/>
    <n v="2123550"/>
    <x v="0"/>
    <n v="321300"/>
    <n v="289125"/>
  </r>
  <r>
    <x v="27"/>
    <x v="0"/>
    <x v="1"/>
    <n v="86358"/>
    <n v="756"/>
    <x v="244"/>
    <n v="717"/>
    <n v="3367962"/>
    <x v="1"/>
    <n v="454726"/>
    <n v="368368"/>
  </r>
  <r>
    <x v="27"/>
    <x v="0"/>
    <x v="2"/>
    <n v="22198"/>
    <n v="584"/>
    <x v="245"/>
    <n v="536"/>
    <n v="1065504"/>
    <x v="1"/>
    <n v="367292"/>
    <n v="345094"/>
  </r>
  <r>
    <x v="27"/>
    <x v="1"/>
    <x v="0"/>
    <n v="33859"/>
    <n v="628"/>
    <x v="246"/>
    <n v="581"/>
    <n v="1591373"/>
    <x v="1"/>
    <n v="460910"/>
    <n v="427051"/>
  </r>
  <r>
    <x v="27"/>
    <x v="1"/>
    <x v="1"/>
    <n v="35358"/>
    <n v="879"/>
    <x v="247"/>
    <n v="847"/>
    <n v="1131456"/>
    <x v="0"/>
    <n v="407990"/>
    <n v="372632"/>
  </r>
  <r>
    <x v="27"/>
    <x v="1"/>
    <x v="2"/>
    <n v="34596"/>
    <n v="536"/>
    <x v="248"/>
    <n v="469"/>
    <n v="2317932"/>
    <x v="0"/>
    <n v="332351"/>
    <n v="297755"/>
  </r>
  <r>
    <x v="27"/>
    <x v="2"/>
    <x v="0"/>
    <n v="82516"/>
    <n v="643"/>
    <x v="249"/>
    <n v="579"/>
    <n v="5281024"/>
    <x v="0"/>
    <n v="457529"/>
    <n v="375013"/>
  </r>
  <r>
    <x v="27"/>
    <x v="2"/>
    <x v="1"/>
    <n v="37771"/>
    <n v="773"/>
    <x v="250"/>
    <n v="727"/>
    <n v="1737466"/>
    <x v="0"/>
    <n v="456713"/>
    <n v="418942"/>
  </r>
  <r>
    <x v="27"/>
    <x v="2"/>
    <x v="2"/>
    <n v="39063"/>
    <n v="558"/>
    <x v="251"/>
    <n v="483"/>
    <n v="2929725"/>
    <x v="0"/>
    <n v="417215"/>
    <n v="378152"/>
  </r>
  <r>
    <x v="28"/>
    <x v="0"/>
    <x v="0"/>
    <n v="71920"/>
    <n v="680"/>
    <x v="252"/>
    <n v="637"/>
    <n v="3092560"/>
    <x v="0"/>
    <n v="235367"/>
    <n v="163447"/>
  </r>
  <r>
    <x v="28"/>
    <x v="0"/>
    <x v="1"/>
    <n v="80774"/>
    <n v="771"/>
    <x v="253"/>
    <n v="699"/>
    <n v="5815728"/>
    <x v="0"/>
    <n v="316739"/>
    <n v="235965"/>
  </r>
  <r>
    <x v="28"/>
    <x v="0"/>
    <x v="2"/>
    <n v="76133"/>
    <n v="517"/>
    <x v="254"/>
    <n v="467"/>
    <n v="3806650"/>
    <x v="0"/>
    <n v="388456"/>
    <n v="312323"/>
  </r>
  <r>
    <x v="28"/>
    <x v="1"/>
    <x v="0"/>
    <n v="46657"/>
    <n v="616"/>
    <x v="255"/>
    <n v="550"/>
    <n v="3079362"/>
    <x v="0"/>
    <n v="428504"/>
    <n v="381847"/>
  </r>
  <r>
    <x v="28"/>
    <x v="1"/>
    <x v="1"/>
    <n v="21622"/>
    <n v="866"/>
    <x v="256"/>
    <n v="795"/>
    <n v="1535162"/>
    <x v="1"/>
    <n v="216725"/>
    <n v="195103"/>
  </r>
  <r>
    <x v="28"/>
    <x v="1"/>
    <x v="2"/>
    <n v="71226"/>
    <n v="556"/>
    <x v="257"/>
    <n v="496"/>
    <n v="4273560"/>
    <x v="0"/>
    <n v="229402"/>
    <n v="158176"/>
  </r>
  <r>
    <x v="28"/>
    <x v="2"/>
    <x v="0"/>
    <n v="66828"/>
    <n v="652"/>
    <x v="258"/>
    <n v="616"/>
    <n v="2405808"/>
    <x v="1"/>
    <n v="424137"/>
    <n v="357309"/>
  </r>
  <r>
    <x v="28"/>
    <x v="2"/>
    <x v="1"/>
    <n v="31664"/>
    <n v="871"/>
    <x v="259"/>
    <n v="796"/>
    <n v="2374800"/>
    <x v="0"/>
    <n v="301371"/>
    <n v="269707"/>
  </r>
  <r>
    <x v="28"/>
    <x v="2"/>
    <x v="2"/>
    <n v="81120"/>
    <n v="550"/>
    <x v="260"/>
    <n v="485"/>
    <n v="5272800"/>
    <x v="1"/>
    <n v="253276"/>
    <n v="172156"/>
  </r>
  <r>
    <x v="29"/>
    <x v="0"/>
    <x v="0"/>
    <n v="73002"/>
    <n v="639"/>
    <x v="261"/>
    <n v="599"/>
    <n v="2920080"/>
    <x v="1"/>
    <n v="422320"/>
    <n v="349318"/>
  </r>
  <r>
    <x v="29"/>
    <x v="0"/>
    <x v="1"/>
    <n v="31046"/>
    <n v="803"/>
    <x v="262"/>
    <n v="740"/>
    <n v="1955898"/>
    <x v="1"/>
    <n v="384374"/>
    <n v="353328"/>
  </r>
  <r>
    <x v="29"/>
    <x v="0"/>
    <x v="2"/>
    <n v="88247"/>
    <n v="521"/>
    <x v="263"/>
    <n v="487"/>
    <n v="3000398"/>
    <x v="0"/>
    <n v="259129"/>
    <n v="170882"/>
  </r>
  <r>
    <x v="29"/>
    <x v="1"/>
    <x v="0"/>
    <n v="87298"/>
    <n v="680"/>
    <x v="264"/>
    <n v="606"/>
    <n v="6460052"/>
    <x v="0"/>
    <n v="238890"/>
    <n v="151592"/>
  </r>
  <r>
    <x v="29"/>
    <x v="1"/>
    <x v="1"/>
    <n v="67304"/>
    <n v="822"/>
    <x v="265"/>
    <n v="784"/>
    <n v="2557552"/>
    <x v="1"/>
    <n v="368976"/>
    <n v="301672"/>
  </r>
  <r>
    <x v="29"/>
    <x v="1"/>
    <x v="2"/>
    <n v="54008"/>
    <n v="560"/>
    <x v="266"/>
    <n v="488"/>
    <n v="3888576"/>
    <x v="0"/>
    <n v="283559"/>
    <n v="229551"/>
  </r>
  <r>
    <x v="29"/>
    <x v="2"/>
    <x v="0"/>
    <n v="33350"/>
    <n v="634"/>
    <x v="267"/>
    <n v="602"/>
    <n v="1067200"/>
    <x v="1"/>
    <n v="228145"/>
    <n v="194795"/>
  </r>
  <r>
    <x v="29"/>
    <x v="2"/>
    <x v="1"/>
    <n v="40581"/>
    <n v="847"/>
    <x v="268"/>
    <n v="806"/>
    <n v="1663821"/>
    <x v="1"/>
    <n v="251474"/>
    <n v="210893"/>
  </r>
  <r>
    <x v="29"/>
    <x v="2"/>
    <x v="2"/>
    <n v="89626"/>
    <n v="548"/>
    <x v="269"/>
    <n v="502"/>
    <n v="4122796"/>
    <x v="1"/>
    <n v="380553"/>
    <n v="290927"/>
  </r>
  <r>
    <x v="30"/>
    <x v="0"/>
    <x v="0"/>
    <n v="77134"/>
    <n v="611"/>
    <x v="270"/>
    <n v="566"/>
    <n v="3471030"/>
    <x v="1"/>
    <n v="290327"/>
    <n v="213193"/>
  </r>
  <r>
    <x v="30"/>
    <x v="0"/>
    <x v="1"/>
    <n v="32254"/>
    <n v="898"/>
    <x v="271"/>
    <n v="852"/>
    <n v="1483684"/>
    <x v="0"/>
    <n v="267957"/>
    <n v="235703"/>
  </r>
  <r>
    <x v="30"/>
    <x v="0"/>
    <x v="2"/>
    <n v="78053"/>
    <n v="571"/>
    <x v="272"/>
    <n v="517"/>
    <n v="4214862"/>
    <x v="1"/>
    <n v="386833"/>
    <n v="308780"/>
  </r>
  <r>
    <x v="30"/>
    <x v="1"/>
    <x v="0"/>
    <n v="47935"/>
    <n v="609"/>
    <x v="273"/>
    <n v="564"/>
    <n v="2157075"/>
    <x v="0"/>
    <n v="343254"/>
    <n v="295319"/>
  </r>
  <r>
    <x v="30"/>
    <x v="1"/>
    <x v="1"/>
    <n v="76276"/>
    <n v="835"/>
    <x v="274"/>
    <n v="799"/>
    <n v="2745936"/>
    <x v="1"/>
    <n v="244813"/>
    <n v="168537"/>
  </r>
  <r>
    <x v="30"/>
    <x v="1"/>
    <x v="2"/>
    <n v="28820"/>
    <n v="506"/>
    <x v="275"/>
    <n v="468"/>
    <n v="1095160"/>
    <x v="0"/>
    <n v="404615"/>
    <n v="375795"/>
  </r>
  <r>
    <x v="30"/>
    <x v="2"/>
    <x v="0"/>
    <n v="61786"/>
    <n v="686"/>
    <x v="276"/>
    <n v="628"/>
    <n v="3583588"/>
    <x v="0"/>
    <n v="498206"/>
    <n v="436420"/>
  </r>
  <r>
    <x v="30"/>
    <x v="2"/>
    <x v="1"/>
    <n v="71571"/>
    <n v="895"/>
    <x v="277"/>
    <n v="824"/>
    <n v="5081541"/>
    <x v="1"/>
    <n v="266150"/>
    <n v="194579"/>
  </r>
  <r>
    <x v="30"/>
    <x v="2"/>
    <x v="2"/>
    <n v="72375"/>
    <n v="598"/>
    <x v="278"/>
    <n v="525"/>
    <n v="5283375"/>
    <x v="1"/>
    <n v="410017"/>
    <n v="337642"/>
  </r>
  <r>
    <x v="31"/>
    <x v="0"/>
    <x v="0"/>
    <n v="22983"/>
    <n v="689"/>
    <x v="279"/>
    <n v="637"/>
    <n v="1195116"/>
    <x v="1"/>
    <n v="409259"/>
    <n v="386276"/>
  </r>
  <r>
    <x v="31"/>
    <x v="0"/>
    <x v="1"/>
    <n v="76846"/>
    <n v="869"/>
    <x v="280"/>
    <n v="791"/>
    <n v="5993988"/>
    <x v="1"/>
    <n v="346389"/>
    <n v="269543"/>
  </r>
  <r>
    <x v="31"/>
    <x v="0"/>
    <x v="2"/>
    <n v="27564"/>
    <n v="581"/>
    <x v="281"/>
    <n v="519"/>
    <n v="1708968"/>
    <x v="0"/>
    <n v="454444"/>
    <n v="426880"/>
  </r>
  <r>
    <x v="31"/>
    <x v="1"/>
    <x v="0"/>
    <n v="72393"/>
    <n v="633"/>
    <x v="282"/>
    <n v="574"/>
    <n v="4271187"/>
    <x v="1"/>
    <n v="491574"/>
    <n v="419181"/>
  </r>
  <r>
    <x v="31"/>
    <x v="1"/>
    <x v="1"/>
    <n v="47788"/>
    <n v="767"/>
    <x v="283"/>
    <n v="706"/>
    <n v="2915068"/>
    <x v="0"/>
    <n v="239974"/>
    <n v="192186"/>
  </r>
  <r>
    <x v="31"/>
    <x v="1"/>
    <x v="2"/>
    <n v="36371"/>
    <n v="528"/>
    <x v="284"/>
    <n v="450"/>
    <n v="2836938"/>
    <x v="0"/>
    <n v="273972"/>
    <n v="237601"/>
  </r>
  <r>
    <x v="31"/>
    <x v="2"/>
    <x v="0"/>
    <n v="32984"/>
    <n v="615"/>
    <x v="285"/>
    <n v="542"/>
    <n v="2407832"/>
    <x v="1"/>
    <n v="305373"/>
    <n v="272389"/>
  </r>
  <r>
    <x v="31"/>
    <x v="2"/>
    <x v="1"/>
    <n v="44574"/>
    <n v="852"/>
    <x v="286"/>
    <n v="803"/>
    <n v="2184126"/>
    <x v="1"/>
    <n v="343748"/>
    <n v="299174"/>
  </r>
  <r>
    <x v="31"/>
    <x v="2"/>
    <x v="2"/>
    <n v="52733"/>
    <n v="548"/>
    <x v="287"/>
    <n v="516"/>
    <n v="1687456"/>
    <x v="0"/>
    <n v="309996"/>
    <n v="257263"/>
  </r>
  <r>
    <x v="32"/>
    <x v="0"/>
    <x v="0"/>
    <n v="44951"/>
    <n v="629"/>
    <x v="288"/>
    <n v="550"/>
    <n v="3551129"/>
    <x v="0"/>
    <n v="386691"/>
    <n v="341740"/>
  </r>
  <r>
    <x v="32"/>
    <x v="0"/>
    <x v="1"/>
    <n v="60600"/>
    <n v="822"/>
    <x v="289"/>
    <n v="778"/>
    <n v="2666400"/>
    <x v="1"/>
    <n v="411760"/>
    <n v="351160"/>
  </r>
  <r>
    <x v="32"/>
    <x v="0"/>
    <x v="2"/>
    <n v="63001"/>
    <n v="536"/>
    <x v="290"/>
    <n v="470"/>
    <n v="4158066"/>
    <x v="0"/>
    <n v="438506"/>
    <n v="375505"/>
  </r>
  <r>
    <x v="32"/>
    <x v="1"/>
    <x v="0"/>
    <n v="57573"/>
    <n v="638"/>
    <x v="291"/>
    <n v="563"/>
    <n v="4317975"/>
    <x v="1"/>
    <n v="360829"/>
    <n v="303256"/>
  </r>
  <r>
    <x v="32"/>
    <x v="1"/>
    <x v="1"/>
    <n v="68280"/>
    <n v="801"/>
    <x v="292"/>
    <n v="768"/>
    <n v="2253240"/>
    <x v="1"/>
    <n v="445596"/>
    <n v="377316"/>
  </r>
  <r>
    <x v="32"/>
    <x v="1"/>
    <x v="2"/>
    <n v="58197"/>
    <n v="573"/>
    <x v="293"/>
    <n v="501"/>
    <n v="4190184"/>
    <x v="1"/>
    <n v="261665"/>
    <n v="203468"/>
  </r>
  <r>
    <x v="32"/>
    <x v="2"/>
    <x v="0"/>
    <n v="47376"/>
    <n v="602"/>
    <x v="294"/>
    <n v="567"/>
    <n v="1658160"/>
    <x v="1"/>
    <n v="273781"/>
    <n v="226405"/>
  </r>
  <r>
    <x v="32"/>
    <x v="2"/>
    <x v="1"/>
    <n v="86262"/>
    <n v="758"/>
    <x v="295"/>
    <n v="694"/>
    <n v="5520768"/>
    <x v="1"/>
    <n v="349369"/>
    <n v="263107"/>
  </r>
  <r>
    <x v="32"/>
    <x v="2"/>
    <x v="2"/>
    <n v="46172"/>
    <n v="534"/>
    <x v="296"/>
    <n v="455"/>
    <n v="3647588"/>
    <x v="1"/>
    <n v="359903"/>
    <n v="313731"/>
  </r>
  <r>
    <x v="33"/>
    <x v="0"/>
    <x v="0"/>
    <n v="81413"/>
    <n v="612"/>
    <x v="297"/>
    <n v="536"/>
    <n v="6187388"/>
    <x v="0"/>
    <n v="390792"/>
    <n v="309379"/>
  </r>
  <r>
    <x v="33"/>
    <x v="0"/>
    <x v="1"/>
    <n v="54701"/>
    <n v="850"/>
    <x v="298"/>
    <n v="787"/>
    <n v="3446163"/>
    <x v="1"/>
    <n v="348746"/>
    <n v="294045"/>
  </r>
  <r>
    <x v="33"/>
    <x v="0"/>
    <x v="2"/>
    <n v="43874"/>
    <n v="591"/>
    <x v="299"/>
    <n v="533"/>
    <n v="2544692"/>
    <x v="1"/>
    <n v="479746"/>
    <n v="435872"/>
  </r>
  <r>
    <x v="33"/>
    <x v="1"/>
    <x v="0"/>
    <n v="45931"/>
    <n v="641"/>
    <x v="300"/>
    <n v="603"/>
    <n v="1745378"/>
    <x v="0"/>
    <n v="281121"/>
    <n v="235190"/>
  </r>
  <r>
    <x v="33"/>
    <x v="1"/>
    <x v="1"/>
    <n v="53742"/>
    <n v="787"/>
    <x v="301"/>
    <n v="750"/>
    <n v="1988454"/>
    <x v="1"/>
    <n v="352826"/>
    <n v="299084"/>
  </r>
  <r>
    <x v="33"/>
    <x v="1"/>
    <x v="2"/>
    <n v="61873"/>
    <n v="569"/>
    <x v="302"/>
    <n v="503"/>
    <n v="4083618"/>
    <x v="0"/>
    <n v="334092"/>
    <n v="272219"/>
  </r>
  <r>
    <x v="33"/>
    <x v="2"/>
    <x v="0"/>
    <n v="65648"/>
    <n v="639"/>
    <x v="303"/>
    <n v="565"/>
    <n v="4857952"/>
    <x v="1"/>
    <n v="202396"/>
    <n v="136748"/>
  </r>
  <r>
    <x v="33"/>
    <x v="2"/>
    <x v="1"/>
    <n v="39129"/>
    <n v="816"/>
    <x v="304"/>
    <n v="747"/>
    <n v="2699901"/>
    <x v="0"/>
    <n v="361633"/>
    <n v="322504"/>
  </r>
  <r>
    <x v="33"/>
    <x v="2"/>
    <x v="2"/>
    <n v="27314"/>
    <n v="579"/>
    <x v="305"/>
    <n v="510"/>
    <n v="1884666"/>
    <x v="1"/>
    <n v="398747"/>
    <n v="371433"/>
  </r>
  <r>
    <x v="34"/>
    <x v="0"/>
    <x v="0"/>
    <n v="85082"/>
    <n v="647"/>
    <x v="306"/>
    <n v="577"/>
    <n v="5955740"/>
    <x v="1"/>
    <n v="305228"/>
    <n v="220146"/>
  </r>
  <r>
    <x v="34"/>
    <x v="0"/>
    <x v="1"/>
    <n v="71756"/>
    <n v="838"/>
    <x v="307"/>
    <n v="767"/>
    <n v="5094676"/>
    <x v="0"/>
    <n v="269274"/>
    <n v="197518"/>
  </r>
  <r>
    <x v="34"/>
    <x v="0"/>
    <x v="2"/>
    <n v="73947"/>
    <n v="506"/>
    <x v="308"/>
    <n v="472"/>
    <n v="2514198"/>
    <x v="1"/>
    <n v="248874"/>
    <n v="174927"/>
  </r>
  <r>
    <x v="34"/>
    <x v="1"/>
    <x v="0"/>
    <n v="88344"/>
    <n v="630"/>
    <x v="309"/>
    <n v="578"/>
    <n v="4593888"/>
    <x v="0"/>
    <n v="278249"/>
    <n v="189905"/>
  </r>
  <r>
    <x v="34"/>
    <x v="1"/>
    <x v="1"/>
    <n v="22719"/>
    <n v="856"/>
    <x v="310"/>
    <n v="797"/>
    <n v="1340421"/>
    <x v="1"/>
    <n v="242534"/>
    <n v="219815"/>
  </r>
  <r>
    <x v="34"/>
    <x v="1"/>
    <x v="2"/>
    <n v="38787"/>
    <n v="501"/>
    <x v="311"/>
    <n v="458"/>
    <n v="1667841"/>
    <x v="1"/>
    <n v="389004"/>
    <n v="350217"/>
  </r>
  <r>
    <x v="34"/>
    <x v="2"/>
    <x v="0"/>
    <n v="53062"/>
    <n v="665"/>
    <x v="312"/>
    <n v="604"/>
    <n v="3236782"/>
    <x v="1"/>
    <n v="275418"/>
    <n v="222356"/>
  </r>
  <r>
    <x v="34"/>
    <x v="2"/>
    <x v="1"/>
    <n v="54832"/>
    <n v="853"/>
    <x v="313"/>
    <n v="793"/>
    <n v="3289920"/>
    <x v="0"/>
    <n v="368383"/>
    <n v="313551"/>
  </r>
  <r>
    <x v="34"/>
    <x v="2"/>
    <x v="2"/>
    <n v="83852"/>
    <n v="534"/>
    <x v="314"/>
    <n v="457"/>
    <n v="6456604"/>
    <x v="1"/>
    <n v="402053"/>
    <n v="318201"/>
  </r>
  <r>
    <x v="35"/>
    <x v="0"/>
    <x v="0"/>
    <n v="67517"/>
    <n v="670"/>
    <x v="315"/>
    <n v="631"/>
    <n v="2633163"/>
    <x v="1"/>
    <n v="344353"/>
    <n v="276836"/>
  </r>
  <r>
    <x v="35"/>
    <x v="0"/>
    <x v="1"/>
    <n v="21435"/>
    <n v="809"/>
    <x v="316"/>
    <n v="765"/>
    <n v="943140"/>
    <x v="1"/>
    <n v="291357"/>
    <n v="269922"/>
  </r>
  <r>
    <x v="35"/>
    <x v="0"/>
    <x v="2"/>
    <n v="25084"/>
    <n v="521"/>
    <x v="317"/>
    <n v="488"/>
    <n v="827772"/>
    <x v="0"/>
    <n v="403667"/>
    <n v="378583"/>
  </r>
  <r>
    <x v="35"/>
    <x v="1"/>
    <x v="0"/>
    <n v="65539"/>
    <n v="667"/>
    <x v="318"/>
    <n v="611"/>
    <n v="3670184"/>
    <x v="0"/>
    <n v="381264"/>
    <n v="315725"/>
  </r>
  <r>
    <x v="35"/>
    <x v="1"/>
    <x v="1"/>
    <n v="83888"/>
    <n v="887"/>
    <x v="319"/>
    <n v="857"/>
    <n v="2516640"/>
    <x v="0"/>
    <n v="453973"/>
    <n v="370085"/>
  </r>
  <r>
    <x v="35"/>
    <x v="1"/>
    <x v="2"/>
    <n v="87889"/>
    <n v="513"/>
    <x v="320"/>
    <n v="437"/>
    <n v="6679564"/>
    <x v="0"/>
    <n v="224860"/>
    <n v="136971"/>
  </r>
  <r>
    <x v="35"/>
    <x v="2"/>
    <x v="0"/>
    <n v="41427"/>
    <n v="675"/>
    <x v="321"/>
    <n v="639"/>
    <n v="1491372"/>
    <x v="1"/>
    <n v="323786"/>
    <n v="282359"/>
  </r>
  <r>
    <x v="35"/>
    <x v="2"/>
    <x v="1"/>
    <n v="27813"/>
    <n v="860"/>
    <x v="322"/>
    <n v="816"/>
    <n v="1223772"/>
    <x v="1"/>
    <n v="457951"/>
    <n v="430138"/>
  </r>
  <r>
    <x v="35"/>
    <x v="2"/>
    <x v="2"/>
    <n v="47082"/>
    <n v="557"/>
    <x v="323"/>
    <n v="505"/>
    <n v="2448264"/>
    <x v="0"/>
    <n v="211745"/>
    <n v="164663"/>
  </r>
  <r>
    <x v="36"/>
    <x v="0"/>
    <x v="0"/>
    <n v="33025"/>
    <n v="628"/>
    <x v="324"/>
    <n v="595"/>
    <n v="1089825"/>
    <x v="1"/>
    <n v="345360"/>
    <n v="312335"/>
  </r>
  <r>
    <x v="36"/>
    <x v="0"/>
    <x v="1"/>
    <n v="26540"/>
    <n v="788"/>
    <x v="325"/>
    <n v="744"/>
    <n v="1167760"/>
    <x v="1"/>
    <n v="241846"/>
    <n v="215306"/>
  </r>
  <r>
    <x v="36"/>
    <x v="0"/>
    <x v="2"/>
    <n v="37482"/>
    <n v="531"/>
    <x v="326"/>
    <n v="500"/>
    <n v="1161942"/>
    <x v="1"/>
    <n v="484186"/>
    <n v="446704"/>
  </r>
  <r>
    <x v="36"/>
    <x v="1"/>
    <x v="0"/>
    <n v="64413"/>
    <n v="655"/>
    <x v="327"/>
    <n v="598"/>
    <n v="3671541"/>
    <x v="1"/>
    <n v="495900"/>
    <n v="431487"/>
  </r>
  <r>
    <x v="36"/>
    <x v="1"/>
    <x v="1"/>
    <n v="59214"/>
    <n v="850"/>
    <x v="328"/>
    <n v="801"/>
    <n v="2901486"/>
    <x v="1"/>
    <n v="248901"/>
    <n v="189687"/>
  </r>
  <r>
    <x v="36"/>
    <x v="1"/>
    <x v="2"/>
    <n v="83416"/>
    <n v="568"/>
    <x v="329"/>
    <n v="536"/>
    <n v="2669312"/>
    <x v="1"/>
    <n v="467770"/>
    <n v="384354"/>
  </r>
  <r>
    <x v="36"/>
    <x v="2"/>
    <x v="0"/>
    <n v="32857"/>
    <n v="637"/>
    <x v="330"/>
    <n v="593"/>
    <n v="1445708"/>
    <x v="0"/>
    <n v="379362"/>
    <n v="346505"/>
  </r>
  <r>
    <x v="36"/>
    <x v="2"/>
    <x v="1"/>
    <n v="46385"/>
    <n v="764"/>
    <x v="331"/>
    <n v="691"/>
    <n v="3386105"/>
    <x v="1"/>
    <n v="480783"/>
    <n v="434398"/>
  </r>
  <r>
    <x v="36"/>
    <x v="2"/>
    <x v="2"/>
    <n v="41563"/>
    <n v="545"/>
    <x v="332"/>
    <n v="491"/>
    <n v="2244402"/>
    <x v="1"/>
    <n v="405390"/>
    <n v="363827"/>
  </r>
  <r>
    <x v="37"/>
    <x v="0"/>
    <x v="0"/>
    <n v="50707"/>
    <n v="670"/>
    <x v="333"/>
    <n v="638"/>
    <n v="1622624"/>
    <x v="0"/>
    <n v="392860"/>
    <n v="342153"/>
  </r>
  <r>
    <x v="37"/>
    <x v="0"/>
    <x v="1"/>
    <n v="58827"/>
    <n v="773"/>
    <x v="334"/>
    <n v="741"/>
    <n v="1882464"/>
    <x v="0"/>
    <n v="346323"/>
    <n v="287496"/>
  </r>
  <r>
    <x v="37"/>
    <x v="0"/>
    <x v="2"/>
    <n v="20526"/>
    <n v="524"/>
    <x v="335"/>
    <n v="465"/>
    <n v="1211034"/>
    <x v="1"/>
    <n v="460550"/>
    <n v="440024"/>
  </r>
  <r>
    <x v="37"/>
    <x v="1"/>
    <x v="0"/>
    <n v="48541"/>
    <n v="683"/>
    <x v="336"/>
    <n v="618"/>
    <n v="3155165"/>
    <x v="0"/>
    <n v="470856"/>
    <n v="422315"/>
  </r>
  <r>
    <x v="37"/>
    <x v="1"/>
    <x v="1"/>
    <n v="85455"/>
    <n v="812"/>
    <x v="337"/>
    <n v="761"/>
    <n v="4358205"/>
    <x v="1"/>
    <n v="467253"/>
    <n v="381798"/>
  </r>
  <r>
    <x v="37"/>
    <x v="1"/>
    <x v="2"/>
    <n v="69268"/>
    <n v="501"/>
    <x v="338"/>
    <n v="448"/>
    <n v="3671204"/>
    <x v="1"/>
    <n v="282503"/>
    <n v="213235"/>
  </r>
  <r>
    <x v="37"/>
    <x v="2"/>
    <x v="0"/>
    <n v="49759"/>
    <n v="676"/>
    <x v="339"/>
    <n v="630"/>
    <n v="2288914"/>
    <x v="1"/>
    <n v="302471"/>
    <n v="252712"/>
  </r>
  <r>
    <x v="37"/>
    <x v="2"/>
    <x v="1"/>
    <n v="46589"/>
    <n v="813"/>
    <x v="340"/>
    <n v="766"/>
    <n v="2189683"/>
    <x v="0"/>
    <n v="393118"/>
    <n v="346529"/>
  </r>
  <r>
    <x v="37"/>
    <x v="2"/>
    <x v="2"/>
    <n v="46143"/>
    <n v="510"/>
    <x v="341"/>
    <n v="436"/>
    <n v="3414582"/>
    <x v="0"/>
    <n v="264288"/>
    <n v="218145"/>
  </r>
  <r>
    <x v="38"/>
    <x v="0"/>
    <x v="0"/>
    <n v="40581"/>
    <n v="640"/>
    <x v="342"/>
    <n v="603"/>
    <n v="1501497"/>
    <x v="0"/>
    <n v="381002"/>
    <n v="340421"/>
  </r>
  <r>
    <x v="38"/>
    <x v="0"/>
    <x v="1"/>
    <n v="89298"/>
    <n v="837"/>
    <x v="343"/>
    <n v="767"/>
    <n v="6250860"/>
    <x v="1"/>
    <n v="239499"/>
    <n v="150201"/>
  </r>
  <r>
    <x v="38"/>
    <x v="0"/>
    <x v="2"/>
    <n v="72269"/>
    <n v="531"/>
    <x v="344"/>
    <n v="487"/>
    <n v="3179836"/>
    <x v="0"/>
    <n v="442997"/>
    <n v="370728"/>
  </r>
  <r>
    <x v="38"/>
    <x v="1"/>
    <x v="0"/>
    <n v="68787"/>
    <n v="632"/>
    <x v="345"/>
    <n v="593"/>
    <n v="2682693"/>
    <x v="0"/>
    <n v="405735"/>
    <n v="336948"/>
  </r>
  <r>
    <x v="38"/>
    <x v="1"/>
    <x v="1"/>
    <n v="81681"/>
    <n v="846"/>
    <x v="346"/>
    <n v="815"/>
    <n v="2532111"/>
    <x v="1"/>
    <n v="468512"/>
    <n v="386831"/>
  </r>
  <r>
    <x v="38"/>
    <x v="1"/>
    <x v="2"/>
    <n v="65004"/>
    <n v="529"/>
    <x v="347"/>
    <n v="467"/>
    <n v="4030248"/>
    <x v="0"/>
    <n v="419724"/>
    <n v="354720"/>
  </r>
  <r>
    <x v="38"/>
    <x v="2"/>
    <x v="0"/>
    <n v="76985"/>
    <n v="621"/>
    <x v="348"/>
    <n v="553"/>
    <n v="5234980"/>
    <x v="0"/>
    <n v="308737"/>
    <n v="231752"/>
  </r>
  <r>
    <x v="38"/>
    <x v="2"/>
    <x v="1"/>
    <n v="43398"/>
    <n v="839"/>
    <x v="349"/>
    <n v="764"/>
    <n v="3254850"/>
    <x v="1"/>
    <n v="412977"/>
    <n v="369579"/>
  </r>
  <r>
    <x v="38"/>
    <x v="2"/>
    <x v="2"/>
    <n v="88577"/>
    <n v="543"/>
    <x v="350"/>
    <n v="465"/>
    <n v="6909006"/>
    <x v="1"/>
    <n v="251047"/>
    <n v="162470"/>
  </r>
  <r>
    <x v="39"/>
    <x v="0"/>
    <x v="0"/>
    <n v="77660"/>
    <n v="666"/>
    <x v="351"/>
    <n v="631"/>
    <n v="2718100"/>
    <x v="0"/>
    <n v="415048"/>
    <n v="337388"/>
  </r>
  <r>
    <x v="39"/>
    <x v="0"/>
    <x v="1"/>
    <n v="46015"/>
    <n v="790"/>
    <x v="352"/>
    <n v="711"/>
    <n v="3635185"/>
    <x v="0"/>
    <n v="290827"/>
    <n v="244812"/>
  </r>
  <r>
    <x v="39"/>
    <x v="0"/>
    <x v="2"/>
    <n v="46289"/>
    <n v="591"/>
    <x v="353"/>
    <n v="542"/>
    <n v="2268161"/>
    <x v="1"/>
    <n v="224826"/>
    <n v="178537"/>
  </r>
  <r>
    <x v="39"/>
    <x v="1"/>
    <x v="0"/>
    <n v="46630"/>
    <n v="674"/>
    <x v="354"/>
    <n v="625"/>
    <n v="2284870"/>
    <x v="0"/>
    <n v="298511"/>
    <n v="251881"/>
  </r>
  <r>
    <x v="39"/>
    <x v="1"/>
    <x v="1"/>
    <n v="31653"/>
    <n v="807"/>
    <x v="355"/>
    <n v="756"/>
    <n v="1614303"/>
    <x v="1"/>
    <n v="405209"/>
    <n v="373556"/>
  </r>
  <r>
    <x v="39"/>
    <x v="1"/>
    <x v="2"/>
    <n v="76446"/>
    <n v="540"/>
    <x v="356"/>
    <n v="469"/>
    <n v="5427666"/>
    <x v="1"/>
    <n v="236877"/>
    <n v="160431"/>
  </r>
  <r>
    <x v="39"/>
    <x v="2"/>
    <x v="0"/>
    <n v="35313"/>
    <n v="611"/>
    <x v="357"/>
    <n v="559"/>
    <n v="1836276"/>
    <x v="1"/>
    <n v="310091"/>
    <n v="274778"/>
  </r>
  <r>
    <x v="39"/>
    <x v="2"/>
    <x v="1"/>
    <n v="21560"/>
    <n v="794"/>
    <x v="358"/>
    <n v="746"/>
    <n v="1034880"/>
    <x v="0"/>
    <n v="351094"/>
    <n v="329534"/>
  </r>
  <r>
    <x v="39"/>
    <x v="2"/>
    <x v="2"/>
    <n v="72579"/>
    <n v="544"/>
    <x v="359"/>
    <n v="507"/>
    <n v="2685423"/>
    <x v="1"/>
    <n v="228380"/>
    <n v="155801"/>
  </r>
  <r>
    <x v="40"/>
    <x v="0"/>
    <x v="0"/>
    <n v="22356"/>
    <n v="654"/>
    <x v="360"/>
    <n v="593"/>
    <n v="1363716"/>
    <x v="0"/>
    <n v="314994"/>
    <n v="292638"/>
  </r>
  <r>
    <x v="40"/>
    <x v="0"/>
    <x v="1"/>
    <n v="40049"/>
    <n v="895"/>
    <x v="361"/>
    <n v="847"/>
    <n v="1922352"/>
    <x v="1"/>
    <n v="462805"/>
    <n v="422756"/>
  </r>
  <r>
    <x v="40"/>
    <x v="0"/>
    <x v="2"/>
    <n v="22920"/>
    <n v="558"/>
    <x v="362"/>
    <n v="526"/>
    <n v="733440"/>
    <x v="1"/>
    <n v="471090"/>
    <n v="448170"/>
  </r>
  <r>
    <x v="40"/>
    <x v="1"/>
    <x v="0"/>
    <n v="65500"/>
    <n v="692"/>
    <x v="363"/>
    <n v="648"/>
    <n v="2882000"/>
    <x v="1"/>
    <n v="259321"/>
    <n v="193821"/>
  </r>
  <r>
    <x v="40"/>
    <x v="1"/>
    <x v="1"/>
    <n v="67908"/>
    <n v="753"/>
    <x v="364"/>
    <n v="696"/>
    <n v="3870756"/>
    <x v="0"/>
    <n v="488107"/>
    <n v="420199"/>
  </r>
  <r>
    <x v="40"/>
    <x v="1"/>
    <x v="2"/>
    <n v="59443"/>
    <n v="559"/>
    <x v="365"/>
    <n v="506"/>
    <n v="3150479"/>
    <x v="1"/>
    <n v="466847"/>
    <n v="407404"/>
  </r>
  <r>
    <x v="40"/>
    <x v="2"/>
    <x v="0"/>
    <n v="45849"/>
    <n v="697"/>
    <x v="366"/>
    <n v="632"/>
    <n v="2980185"/>
    <x v="1"/>
    <n v="243585"/>
    <n v="197736"/>
  </r>
  <r>
    <x v="40"/>
    <x v="2"/>
    <x v="1"/>
    <n v="46017"/>
    <n v="755"/>
    <x v="367"/>
    <n v="687"/>
    <n v="3129156"/>
    <x v="1"/>
    <n v="491570"/>
    <n v="445553"/>
  </r>
  <r>
    <x v="40"/>
    <x v="2"/>
    <x v="2"/>
    <n v="65241"/>
    <n v="511"/>
    <x v="368"/>
    <n v="479"/>
    <n v="2087712"/>
    <x v="0"/>
    <n v="379436"/>
    <n v="314195"/>
  </r>
  <r>
    <x v="41"/>
    <x v="0"/>
    <x v="0"/>
    <n v="77056"/>
    <n v="698"/>
    <x v="369"/>
    <n v="643"/>
    <n v="4238080"/>
    <x v="0"/>
    <n v="219975"/>
    <n v="142919"/>
  </r>
  <r>
    <x v="41"/>
    <x v="0"/>
    <x v="1"/>
    <n v="43279"/>
    <n v="836"/>
    <x v="370"/>
    <n v="765"/>
    <n v="3072809"/>
    <x v="0"/>
    <n v="397133"/>
    <n v="353854"/>
  </r>
  <r>
    <x v="41"/>
    <x v="0"/>
    <x v="2"/>
    <n v="69153"/>
    <n v="536"/>
    <x v="371"/>
    <n v="502"/>
    <n v="2351202"/>
    <x v="1"/>
    <n v="376037"/>
    <n v="306884"/>
  </r>
  <r>
    <x v="41"/>
    <x v="1"/>
    <x v="0"/>
    <n v="24648"/>
    <n v="661"/>
    <x v="372"/>
    <n v="585"/>
    <n v="1873248"/>
    <x v="0"/>
    <n v="298317"/>
    <n v="273669"/>
  </r>
  <r>
    <x v="41"/>
    <x v="1"/>
    <x v="1"/>
    <n v="55046"/>
    <n v="833"/>
    <x v="373"/>
    <n v="802"/>
    <n v="1706426"/>
    <x v="0"/>
    <n v="400422"/>
    <n v="345376"/>
  </r>
  <r>
    <x v="41"/>
    <x v="1"/>
    <x v="2"/>
    <n v="81272"/>
    <n v="527"/>
    <x v="374"/>
    <n v="496"/>
    <n v="2519432"/>
    <x v="0"/>
    <n v="344832"/>
    <n v="263560"/>
  </r>
  <r>
    <x v="41"/>
    <x v="2"/>
    <x v="0"/>
    <n v="81367"/>
    <n v="635"/>
    <x v="375"/>
    <n v="561"/>
    <n v="6021158"/>
    <x v="1"/>
    <n v="432750"/>
    <n v="351383"/>
  </r>
  <r>
    <x v="41"/>
    <x v="2"/>
    <x v="1"/>
    <n v="72233"/>
    <n v="867"/>
    <x v="376"/>
    <n v="824"/>
    <n v="3106019"/>
    <x v="0"/>
    <n v="402332"/>
    <n v="330099"/>
  </r>
  <r>
    <x v="41"/>
    <x v="2"/>
    <x v="2"/>
    <n v="39816"/>
    <n v="500"/>
    <x v="377"/>
    <n v="466"/>
    <n v="1353744"/>
    <x v="0"/>
    <n v="445011"/>
    <n v="405195"/>
  </r>
  <r>
    <x v="42"/>
    <x v="0"/>
    <x v="0"/>
    <n v="43499"/>
    <n v="600"/>
    <x v="378"/>
    <n v="551"/>
    <n v="2131451"/>
    <x v="1"/>
    <n v="416184"/>
    <n v="372685"/>
  </r>
  <r>
    <x v="42"/>
    <x v="0"/>
    <x v="1"/>
    <n v="75204"/>
    <n v="798"/>
    <x v="379"/>
    <n v="720"/>
    <n v="5865912"/>
    <x v="0"/>
    <n v="471991"/>
    <n v="396787"/>
  </r>
  <r>
    <x v="42"/>
    <x v="0"/>
    <x v="2"/>
    <n v="87278"/>
    <n v="505"/>
    <x v="380"/>
    <n v="432"/>
    <n v="6371294"/>
    <x v="0"/>
    <n v="234707"/>
    <n v="147429"/>
  </r>
  <r>
    <x v="42"/>
    <x v="1"/>
    <x v="0"/>
    <n v="86504"/>
    <n v="636"/>
    <x v="381"/>
    <n v="587"/>
    <n v="4238696"/>
    <x v="1"/>
    <n v="462425"/>
    <n v="375921"/>
  </r>
  <r>
    <x v="42"/>
    <x v="1"/>
    <x v="1"/>
    <n v="59030"/>
    <n v="784"/>
    <x v="382"/>
    <n v="749"/>
    <n v="2066050"/>
    <x v="1"/>
    <n v="359476"/>
    <n v="300446"/>
  </r>
  <r>
    <x v="42"/>
    <x v="1"/>
    <x v="2"/>
    <n v="49856"/>
    <n v="550"/>
    <x v="383"/>
    <n v="507"/>
    <n v="2143808"/>
    <x v="0"/>
    <n v="319273"/>
    <n v="269417"/>
  </r>
  <r>
    <x v="42"/>
    <x v="2"/>
    <x v="0"/>
    <n v="55057"/>
    <n v="687"/>
    <x v="384"/>
    <n v="615"/>
    <n v="3964104"/>
    <x v="0"/>
    <n v="396733"/>
    <n v="341676"/>
  </r>
  <r>
    <x v="42"/>
    <x v="2"/>
    <x v="1"/>
    <n v="65272"/>
    <n v="799"/>
    <x v="385"/>
    <n v="741"/>
    <n v="3785776"/>
    <x v="1"/>
    <n v="346470"/>
    <n v="281198"/>
  </r>
  <r>
    <x v="42"/>
    <x v="2"/>
    <x v="2"/>
    <n v="76503"/>
    <n v="542"/>
    <x v="386"/>
    <n v="463"/>
    <n v="6043737"/>
    <x v="0"/>
    <n v="209110"/>
    <n v="132607"/>
  </r>
  <r>
    <x v="43"/>
    <x v="0"/>
    <x v="0"/>
    <n v="32115"/>
    <n v="622"/>
    <x v="387"/>
    <n v="548"/>
    <n v="2376510"/>
    <x v="0"/>
    <n v="201969"/>
    <n v="169854"/>
  </r>
  <r>
    <x v="43"/>
    <x v="0"/>
    <x v="1"/>
    <n v="24470"/>
    <n v="757"/>
    <x v="388"/>
    <n v="678"/>
    <n v="1933130"/>
    <x v="1"/>
    <n v="323008"/>
    <n v="298538"/>
  </r>
  <r>
    <x v="43"/>
    <x v="0"/>
    <x v="2"/>
    <n v="43196"/>
    <n v="595"/>
    <x v="389"/>
    <n v="528"/>
    <n v="2894132"/>
    <x v="1"/>
    <n v="310677"/>
    <n v="267481"/>
  </r>
  <r>
    <x v="43"/>
    <x v="1"/>
    <x v="0"/>
    <n v="68320"/>
    <n v="654"/>
    <x v="390"/>
    <n v="599"/>
    <n v="3757600"/>
    <x v="0"/>
    <n v="325354"/>
    <n v="257034"/>
  </r>
  <r>
    <x v="43"/>
    <x v="1"/>
    <x v="1"/>
    <n v="75409"/>
    <n v="894"/>
    <x v="391"/>
    <n v="839"/>
    <n v="4147495"/>
    <x v="1"/>
    <n v="236487"/>
    <n v="161078"/>
  </r>
  <r>
    <x v="43"/>
    <x v="1"/>
    <x v="2"/>
    <n v="70138"/>
    <n v="571"/>
    <x v="392"/>
    <n v="517"/>
    <n v="3787452"/>
    <x v="1"/>
    <n v="301376"/>
    <n v="231238"/>
  </r>
  <r>
    <x v="43"/>
    <x v="2"/>
    <x v="0"/>
    <n v="67055"/>
    <n v="613"/>
    <x v="393"/>
    <n v="536"/>
    <n v="5163235"/>
    <x v="0"/>
    <n v="358056"/>
    <n v="291001"/>
  </r>
  <r>
    <x v="43"/>
    <x v="2"/>
    <x v="1"/>
    <n v="28125"/>
    <n v="812"/>
    <x v="394"/>
    <n v="774"/>
    <n v="1068750"/>
    <x v="1"/>
    <n v="404456"/>
    <n v="376331"/>
  </r>
  <r>
    <x v="43"/>
    <x v="2"/>
    <x v="2"/>
    <n v="47208"/>
    <n v="576"/>
    <x v="395"/>
    <n v="516"/>
    <n v="2832480"/>
    <x v="1"/>
    <n v="397096"/>
    <n v="349888"/>
  </r>
  <r>
    <x v="44"/>
    <x v="0"/>
    <x v="0"/>
    <n v="45923"/>
    <n v="697"/>
    <x v="396"/>
    <n v="630"/>
    <n v="3076841"/>
    <x v="0"/>
    <n v="229165"/>
    <n v="183242"/>
  </r>
  <r>
    <x v="44"/>
    <x v="0"/>
    <x v="1"/>
    <n v="24114"/>
    <n v="831"/>
    <x v="397"/>
    <n v="789"/>
    <n v="1012788"/>
    <x v="1"/>
    <n v="445014"/>
    <n v="420900"/>
  </r>
  <r>
    <x v="44"/>
    <x v="0"/>
    <x v="2"/>
    <n v="37772"/>
    <n v="574"/>
    <x v="398"/>
    <n v="544"/>
    <n v="1133160"/>
    <x v="1"/>
    <n v="438389"/>
    <n v="400617"/>
  </r>
  <r>
    <x v="44"/>
    <x v="1"/>
    <x v="0"/>
    <n v="71924"/>
    <n v="614"/>
    <x v="399"/>
    <n v="584"/>
    <n v="2157720"/>
    <x v="0"/>
    <n v="227723"/>
    <n v="155799"/>
  </r>
  <r>
    <x v="44"/>
    <x v="1"/>
    <x v="1"/>
    <n v="29108"/>
    <n v="896"/>
    <x v="400"/>
    <n v="838"/>
    <n v="1688264"/>
    <x v="1"/>
    <n v="414432"/>
    <n v="385324"/>
  </r>
  <r>
    <x v="44"/>
    <x v="1"/>
    <x v="2"/>
    <n v="28927"/>
    <n v="534"/>
    <x v="401"/>
    <n v="461"/>
    <n v="2111671"/>
    <x v="0"/>
    <n v="279973"/>
    <n v="251046"/>
  </r>
  <r>
    <x v="44"/>
    <x v="2"/>
    <x v="0"/>
    <n v="80233"/>
    <n v="665"/>
    <x v="402"/>
    <n v="590"/>
    <n v="6017475"/>
    <x v="1"/>
    <n v="307522"/>
    <n v="227289"/>
  </r>
  <r>
    <x v="44"/>
    <x v="2"/>
    <x v="1"/>
    <n v="26471"/>
    <n v="797"/>
    <x v="403"/>
    <n v="766"/>
    <n v="820601"/>
    <x v="0"/>
    <n v="440069"/>
    <n v="413598"/>
  </r>
  <r>
    <x v="44"/>
    <x v="2"/>
    <x v="2"/>
    <n v="51348"/>
    <n v="592"/>
    <x v="404"/>
    <n v="537"/>
    <n v="2824140"/>
    <x v="0"/>
    <n v="335832"/>
    <n v="284484"/>
  </r>
  <r>
    <x v="45"/>
    <x v="0"/>
    <x v="0"/>
    <n v="41636"/>
    <n v="697"/>
    <x v="405"/>
    <n v="620"/>
    <n v="3205972"/>
    <x v="0"/>
    <n v="342635"/>
    <n v="300999"/>
  </r>
  <r>
    <x v="45"/>
    <x v="0"/>
    <x v="1"/>
    <n v="46966"/>
    <n v="819"/>
    <x v="406"/>
    <n v="744"/>
    <n v="3522450"/>
    <x v="1"/>
    <n v="358059"/>
    <n v="311093"/>
  </r>
  <r>
    <x v="45"/>
    <x v="0"/>
    <x v="2"/>
    <n v="78348"/>
    <n v="520"/>
    <x v="407"/>
    <n v="468"/>
    <n v="4074096"/>
    <x v="1"/>
    <n v="259182"/>
    <n v="180834"/>
  </r>
  <r>
    <x v="45"/>
    <x v="1"/>
    <x v="0"/>
    <n v="59310"/>
    <n v="624"/>
    <x v="408"/>
    <n v="559"/>
    <n v="3855150"/>
    <x v="1"/>
    <n v="339978"/>
    <n v="280668"/>
  </r>
  <r>
    <x v="45"/>
    <x v="1"/>
    <x v="1"/>
    <n v="65379"/>
    <n v="770"/>
    <x v="409"/>
    <n v="728"/>
    <n v="2745918"/>
    <x v="1"/>
    <n v="458517"/>
    <n v="393138"/>
  </r>
  <r>
    <x v="45"/>
    <x v="1"/>
    <x v="2"/>
    <n v="66881"/>
    <n v="577"/>
    <x v="410"/>
    <n v="544"/>
    <n v="2207073"/>
    <x v="1"/>
    <n v="469295"/>
    <n v="402414"/>
  </r>
  <r>
    <x v="45"/>
    <x v="2"/>
    <x v="0"/>
    <n v="56378"/>
    <n v="628"/>
    <x v="411"/>
    <n v="552"/>
    <n v="4284728"/>
    <x v="1"/>
    <n v="344539"/>
    <n v="288161"/>
  </r>
  <r>
    <x v="45"/>
    <x v="2"/>
    <x v="1"/>
    <n v="74691"/>
    <n v="895"/>
    <x v="412"/>
    <n v="864"/>
    <n v="2315421"/>
    <x v="1"/>
    <n v="376048"/>
    <n v="301357"/>
  </r>
  <r>
    <x v="45"/>
    <x v="2"/>
    <x v="2"/>
    <n v="43171"/>
    <n v="589"/>
    <x v="413"/>
    <n v="535"/>
    <n v="2331234"/>
    <x v="1"/>
    <n v="286365"/>
    <n v="243194"/>
  </r>
  <r>
    <x v="46"/>
    <x v="0"/>
    <x v="0"/>
    <n v="64139"/>
    <n v="673"/>
    <x v="414"/>
    <n v="605"/>
    <n v="4361452"/>
    <x v="1"/>
    <n v="272588"/>
    <n v="208449"/>
  </r>
  <r>
    <x v="46"/>
    <x v="0"/>
    <x v="1"/>
    <n v="23654"/>
    <n v="805"/>
    <x v="415"/>
    <n v="727"/>
    <n v="1845012"/>
    <x v="1"/>
    <n v="421097"/>
    <n v="397443"/>
  </r>
  <r>
    <x v="46"/>
    <x v="0"/>
    <x v="2"/>
    <n v="26441"/>
    <n v="555"/>
    <x v="416"/>
    <n v="490"/>
    <n v="1718665"/>
    <x v="0"/>
    <n v="307971"/>
    <n v="281530"/>
  </r>
  <r>
    <x v="46"/>
    <x v="1"/>
    <x v="0"/>
    <n v="79189"/>
    <n v="600"/>
    <x v="417"/>
    <n v="527"/>
    <n v="5780797"/>
    <x v="0"/>
    <n v="242668"/>
    <n v="163479"/>
  </r>
  <r>
    <x v="46"/>
    <x v="1"/>
    <x v="1"/>
    <n v="85429"/>
    <n v="867"/>
    <x v="418"/>
    <n v="817"/>
    <n v="4271450"/>
    <x v="0"/>
    <n v="419861"/>
    <n v="334432"/>
  </r>
  <r>
    <x v="46"/>
    <x v="1"/>
    <x v="2"/>
    <n v="72249"/>
    <n v="508"/>
    <x v="419"/>
    <n v="464"/>
    <n v="3178956"/>
    <x v="0"/>
    <n v="281929"/>
    <n v="209680"/>
  </r>
  <r>
    <x v="46"/>
    <x v="2"/>
    <x v="0"/>
    <n v="51401"/>
    <n v="671"/>
    <x v="420"/>
    <n v="618"/>
    <n v="2724253"/>
    <x v="1"/>
    <n v="319503"/>
    <n v="268102"/>
  </r>
  <r>
    <x v="46"/>
    <x v="2"/>
    <x v="1"/>
    <n v="54084"/>
    <n v="817"/>
    <x v="421"/>
    <n v="738"/>
    <n v="4272636"/>
    <x v="1"/>
    <n v="305111"/>
    <n v="251027"/>
  </r>
  <r>
    <x v="46"/>
    <x v="2"/>
    <x v="2"/>
    <n v="56451"/>
    <n v="559"/>
    <x v="422"/>
    <n v="491"/>
    <n v="3838668"/>
    <x v="1"/>
    <n v="498185"/>
    <n v="441734"/>
  </r>
  <r>
    <x v="47"/>
    <x v="0"/>
    <x v="0"/>
    <n v="85681"/>
    <n v="618"/>
    <x v="423"/>
    <n v="553"/>
    <n v="5569265"/>
    <x v="1"/>
    <n v="396553"/>
    <n v="310872"/>
  </r>
  <r>
    <x v="47"/>
    <x v="0"/>
    <x v="1"/>
    <n v="84174"/>
    <n v="798"/>
    <x v="424"/>
    <n v="734"/>
    <n v="5387136"/>
    <x v="1"/>
    <n v="217633"/>
    <n v="133459"/>
  </r>
  <r>
    <x v="47"/>
    <x v="0"/>
    <x v="2"/>
    <n v="37014"/>
    <n v="520"/>
    <x v="425"/>
    <n v="474"/>
    <n v="1702644"/>
    <x v="1"/>
    <n v="268388"/>
    <n v="231374"/>
  </r>
  <r>
    <x v="47"/>
    <x v="1"/>
    <x v="0"/>
    <n v="53755"/>
    <n v="670"/>
    <x v="426"/>
    <n v="609"/>
    <n v="3279055"/>
    <x v="0"/>
    <n v="291658"/>
    <n v="237903"/>
  </r>
  <r>
    <x v="47"/>
    <x v="1"/>
    <x v="1"/>
    <n v="47213"/>
    <n v="826"/>
    <x v="427"/>
    <n v="772"/>
    <n v="2549502"/>
    <x v="1"/>
    <n v="217727"/>
    <n v="170514"/>
  </r>
  <r>
    <x v="47"/>
    <x v="1"/>
    <x v="2"/>
    <n v="24358"/>
    <n v="584"/>
    <x v="428"/>
    <n v="537"/>
    <n v="1144826"/>
    <x v="0"/>
    <n v="294018"/>
    <n v="269660"/>
  </r>
  <r>
    <x v="47"/>
    <x v="2"/>
    <x v="0"/>
    <n v="52117"/>
    <n v="638"/>
    <x v="429"/>
    <n v="568"/>
    <n v="3648190"/>
    <x v="1"/>
    <n v="429104"/>
    <n v="376987"/>
  </r>
  <r>
    <x v="47"/>
    <x v="2"/>
    <x v="1"/>
    <n v="82438"/>
    <n v="773"/>
    <x v="430"/>
    <n v="698"/>
    <n v="6182850"/>
    <x v="0"/>
    <n v="496037"/>
    <n v="413599"/>
  </r>
  <r>
    <x v="47"/>
    <x v="2"/>
    <x v="2"/>
    <n v="51007"/>
    <n v="538"/>
    <x v="431"/>
    <n v="464"/>
    <n v="3774518"/>
    <x v="0"/>
    <n v="212323"/>
    <n v="161316"/>
  </r>
  <r>
    <x v="48"/>
    <x v="0"/>
    <x v="0"/>
    <n v="34210"/>
    <n v="672"/>
    <x v="432"/>
    <n v="635"/>
    <n v="1265770"/>
    <x v="1"/>
    <n v="254624"/>
    <n v="220414"/>
  </r>
  <r>
    <x v="48"/>
    <x v="0"/>
    <x v="1"/>
    <n v="88008"/>
    <n v="762"/>
    <x v="433"/>
    <n v="684"/>
    <n v="6864624"/>
    <x v="1"/>
    <n v="401659"/>
    <n v="313651"/>
  </r>
  <r>
    <x v="48"/>
    <x v="0"/>
    <x v="2"/>
    <n v="88011"/>
    <n v="526"/>
    <x v="434"/>
    <n v="465"/>
    <n v="5368671"/>
    <x v="0"/>
    <n v="325703"/>
    <n v="237692"/>
  </r>
  <r>
    <x v="48"/>
    <x v="1"/>
    <x v="0"/>
    <n v="54503"/>
    <n v="649"/>
    <x v="435"/>
    <n v="617"/>
    <n v="1744096"/>
    <x v="0"/>
    <n v="274069"/>
    <n v="219566"/>
  </r>
  <r>
    <x v="48"/>
    <x v="1"/>
    <x v="1"/>
    <n v="25249"/>
    <n v="751"/>
    <x v="436"/>
    <n v="684"/>
    <n v="1691683"/>
    <x v="1"/>
    <n v="389648"/>
    <n v="364399"/>
  </r>
  <r>
    <x v="48"/>
    <x v="1"/>
    <x v="2"/>
    <n v="29686"/>
    <n v="529"/>
    <x v="437"/>
    <n v="492"/>
    <n v="1098382"/>
    <x v="0"/>
    <n v="331733"/>
    <n v="302047"/>
  </r>
  <r>
    <x v="48"/>
    <x v="2"/>
    <x v="0"/>
    <n v="80963"/>
    <n v="668"/>
    <x v="438"/>
    <n v="626"/>
    <n v="3400446"/>
    <x v="1"/>
    <n v="472670"/>
    <n v="391707"/>
  </r>
  <r>
    <x v="48"/>
    <x v="2"/>
    <x v="1"/>
    <n v="45592"/>
    <n v="804"/>
    <x v="439"/>
    <n v="759"/>
    <n v="2051640"/>
    <x v="0"/>
    <n v="432041"/>
    <n v="386449"/>
  </r>
  <r>
    <x v="48"/>
    <x v="2"/>
    <x v="2"/>
    <n v="88619"/>
    <n v="516"/>
    <x v="440"/>
    <n v="471"/>
    <n v="3987855"/>
    <x v="0"/>
    <n v="351175"/>
    <n v="262556"/>
  </r>
  <r>
    <x v="49"/>
    <x v="0"/>
    <x v="0"/>
    <n v="30754"/>
    <n v="615"/>
    <x v="441"/>
    <n v="556"/>
    <n v="1814486"/>
    <x v="1"/>
    <n v="298540"/>
    <n v="267786"/>
  </r>
  <r>
    <x v="49"/>
    <x v="0"/>
    <x v="1"/>
    <n v="75922"/>
    <n v="853"/>
    <x v="442"/>
    <n v="819"/>
    <n v="2581348"/>
    <x v="0"/>
    <n v="393783"/>
    <n v="317861"/>
  </r>
  <r>
    <x v="49"/>
    <x v="0"/>
    <x v="2"/>
    <n v="38752"/>
    <n v="529"/>
    <x v="443"/>
    <n v="479"/>
    <n v="1937600"/>
    <x v="0"/>
    <n v="344467"/>
    <n v="305715"/>
  </r>
  <r>
    <x v="49"/>
    <x v="1"/>
    <x v="0"/>
    <n v="76273"/>
    <n v="671"/>
    <x v="444"/>
    <n v="603"/>
    <n v="5186564"/>
    <x v="1"/>
    <n v="467039"/>
    <n v="390766"/>
  </r>
  <r>
    <x v="49"/>
    <x v="1"/>
    <x v="1"/>
    <n v="30699"/>
    <n v="787"/>
    <x v="445"/>
    <n v="724"/>
    <n v="1934037"/>
    <x v="0"/>
    <n v="318413"/>
    <n v="287714"/>
  </r>
  <r>
    <x v="49"/>
    <x v="1"/>
    <x v="2"/>
    <n v="25782"/>
    <n v="565"/>
    <x v="446"/>
    <n v="495"/>
    <n v="1804740"/>
    <x v="1"/>
    <n v="235585"/>
    <n v="209803"/>
  </r>
  <r>
    <x v="49"/>
    <x v="2"/>
    <x v="0"/>
    <n v="67864"/>
    <n v="672"/>
    <x v="447"/>
    <n v="642"/>
    <n v="2035920"/>
    <x v="0"/>
    <n v="238067"/>
    <n v="170203"/>
  </r>
  <r>
    <x v="49"/>
    <x v="2"/>
    <x v="1"/>
    <n v="38073"/>
    <n v="804"/>
    <x v="448"/>
    <n v="769"/>
    <n v="1332555"/>
    <x v="1"/>
    <n v="290517"/>
    <n v="252444"/>
  </r>
  <r>
    <x v="49"/>
    <x v="2"/>
    <x v="2"/>
    <n v="30382"/>
    <n v="585"/>
    <x v="449"/>
    <n v="519"/>
    <n v="2005212"/>
    <x v="0"/>
    <n v="421427"/>
    <n v="391045"/>
  </r>
  <r>
    <x v="50"/>
    <x v="0"/>
    <x v="0"/>
    <n v="32329"/>
    <n v="637"/>
    <x v="450"/>
    <n v="590"/>
    <n v="1519463"/>
    <x v="1"/>
    <n v="287468"/>
    <n v="255139"/>
  </r>
  <r>
    <x v="50"/>
    <x v="0"/>
    <x v="1"/>
    <n v="80631"/>
    <n v="883"/>
    <x v="451"/>
    <n v="851"/>
    <n v="2580192"/>
    <x v="0"/>
    <n v="493894"/>
    <n v="413263"/>
  </r>
  <r>
    <x v="50"/>
    <x v="0"/>
    <x v="2"/>
    <n v="60461"/>
    <n v="572"/>
    <x v="452"/>
    <n v="528"/>
    <n v="2660284"/>
    <x v="1"/>
    <n v="312020"/>
    <n v="251559"/>
  </r>
  <r>
    <x v="50"/>
    <x v="1"/>
    <x v="0"/>
    <n v="26721"/>
    <n v="690"/>
    <x v="453"/>
    <n v="659"/>
    <n v="828351"/>
    <x v="0"/>
    <n v="330513"/>
    <n v="303792"/>
  </r>
  <r>
    <x v="50"/>
    <x v="1"/>
    <x v="1"/>
    <n v="75249"/>
    <n v="759"/>
    <x v="454"/>
    <n v="705"/>
    <n v="4063446"/>
    <x v="0"/>
    <n v="229984"/>
    <n v="154735"/>
  </r>
  <r>
    <x v="50"/>
    <x v="1"/>
    <x v="2"/>
    <n v="25901"/>
    <n v="564"/>
    <x v="455"/>
    <n v="489"/>
    <n v="1942575"/>
    <x v="0"/>
    <n v="493199"/>
    <n v="467298"/>
  </r>
  <r>
    <x v="50"/>
    <x v="2"/>
    <x v="0"/>
    <n v="34716"/>
    <n v="651"/>
    <x v="456"/>
    <n v="619"/>
    <n v="1110912"/>
    <x v="1"/>
    <n v="366370"/>
    <n v="331654"/>
  </r>
  <r>
    <x v="50"/>
    <x v="2"/>
    <x v="1"/>
    <n v="43429"/>
    <n v="774"/>
    <x v="457"/>
    <n v="732"/>
    <n v="1824018"/>
    <x v="0"/>
    <n v="448289"/>
    <n v="404860"/>
  </r>
  <r>
    <x v="50"/>
    <x v="2"/>
    <x v="2"/>
    <n v="37347"/>
    <n v="524"/>
    <x v="458"/>
    <n v="480"/>
    <n v="1643268"/>
    <x v="0"/>
    <n v="240108"/>
    <n v="202761"/>
  </r>
  <r>
    <x v="51"/>
    <x v="0"/>
    <x v="0"/>
    <n v="27967"/>
    <n v="695"/>
    <x v="459"/>
    <n v="638"/>
    <n v="1594119"/>
    <x v="1"/>
    <n v="408524"/>
    <n v="380557"/>
  </r>
  <r>
    <x v="51"/>
    <x v="0"/>
    <x v="1"/>
    <n v="53613"/>
    <n v="769"/>
    <x v="460"/>
    <n v="722"/>
    <n v="2519811"/>
    <x v="0"/>
    <n v="383260"/>
    <n v="329647"/>
  </r>
  <r>
    <x v="51"/>
    <x v="0"/>
    <x v="2"/>
    <n v="55262"/>
    <n v="505"/>
    <x v="461"/>
    <n v="444"/>
    <n v="3370982"/>
    <x v="0"/>
    <n v="260545"/>
    <n v="205283"/>
  </r>
  <r>
    <x v="51"/>
    <x v="1"/>
    <x v="0"/>
    <n v="59922"/>
    <n v="604"/>
    <x v="462"/>
    <n v="556"/>
    <n v="2876256"/>
    <x v="0"/>
    <n v="242913"/>
    <n v="182991"/>
  </r>
  <r>
    <x v="51"/>
    <x v="1"/>
    <x v="1"/>
    <n v="75677"/>
    <n v="760"/>
    <x v="463"/>
    <n v="681"/>
    <n v="5978483"/>
    <x v="1"/>
    <n v="377404"/>
    <n v="301727"/>
  </r>
  <r>
    <x v="51"/>
    <x v="1"/>
    <x v="2"/>
    <n v="45032"/>
    <n v="586"/>
    <x v="464"/>
    <n v="538"/>
    <n v="2161536"/>
    <x v="1"/>
    <n v="244936"/>
    <n v="199904"/>
  </r>
  <r>
    <x v="51"/>
    <x v="2"/>
    <x v="0"/>
    <n v="81588"/>
    <n v="672"/>
    <x v="465"/>
    <n v="615"/>
    <n v="4650516"/>
    <x v="0"/>
    <n v="425469"/>
    <n v="343881"/>
  </r>
  <r>
    <x v="51"/>
    <x v="2"/>
    <x v="1"/>
    <n v="29074"/>
    <n v="756"/>
    <x v="466"/>
    <n v="711"/>
    <n v="1308330"/>
    <x v="1"/>
    <n v="354363"/>
    <n v="325289"/>
  </r>
  <r>
    <x v="51"/>
    <x v="2"/>
    <x v="2"/>
    <n v="66851"/>
    <n v="539"/>
    <x v="467"/>
    <n v="493"/>
    <n v="3075146"/>
    <x v="0"/>
    <n v="399900"/>
    <n v="333049"/>
  </r>
  <r>
    <x v="52"/>
    <x v="0"/>
    <x v="0"/>
    <n v="32411"/>
    <n v="637"/>
    <x v="468"/>
    <n v="569"/>
    <n v="2203948"/>
    <x v="1"/>
    <n v="232371"/>
    <n v="199960"/>
  </r>
  <r>
    <x v="52"/>
    <x v="0"/>
    <x v="1"/>
    <n v="71196"/>
    <n v="756"/>
    <x v="469"/>
    <n v="700"/>
    <n v="3986976"/>
    <x v="0"/>
    <n v="488859"/>
    <n v="417663"/>
  </r>
  <r>
    <x v="52"/>
    <x v="0"/>
    <x v="2"/>
    <n v="51174"/>
    <n v="585"/>
    <x v="470"/>
    <n v="551"/>
    <n v="1739916"/>
    <x v="1"/>
    <n v="393021"/>
    <n v="341847"/>
  </r>
  <r>
    <x v="52"/>
    <x v="1"/>
    <x v="0"/>
    <n v="83037"/>
    <n v="690"/>
    <x v="471"/>
    <n v="640"/>
    <n v="4151850"/>
    <x v="0"/>
    <n v="316981"/>
    <n v="233944"/>
  </r>
  <r>
    <x v="52"/>
    <x v="1"/>
    <x v="1"/>
    <n v="43177"/>
    <n v="807"/>
    <x v="472"/>
    <n v="739"/>
    <n v="2936036"/>
    <x v="1"/>
    <n v="422084"/>
    <n v="378907"/>
  </r>
  <r>
    <x v="52"/>
    <x v="1"/>
    <x v="2"/>
    <n v="80428"/>
    <n v="584"/>
    <x v="473"/>
    <n v="529"/>
    <n v="4423540"/>
    <x v="1"/>
    <n v="313132"/>
    <n v="232704"/>
  </r>
  <r>
    <x v="52"/>
    <x v="2"/>
    <x v="0"/>
    <n v="36052"/>
    <n v="681"/>
    <x v="474"/>
    <n v="615"/>
    <n v="2379432"/>
    <x v="0"/>
    <n v="331743"/>
    <n v="295691"/>
  </r>
  <r>
    <x v="52"/>
    <x v="2"/>
    <x v="1"/>
    <n v="61424"/>
    <n v="888"/>
    <x v="475"/>
    <n v="838"/>
    <n v="3071200"/>
    <x v="1"/>
    <n v="320575"/>
    <n v="259151"/>
  </r>
  <r>
    <x v="52"/>
    <x v="2"/>
    <x v="2"/>
    <n v="49300"/>
    <n v="525"/>
    <x v="476"/>
    <n v="492"/>
    <n v="1626900"/>
    <x v="0"/>
    <n v="356193"/>
    <n v="306893"/>
  </r>
  <r>
    <x v="53"/>
    <x v="0"/>
    <x v="0"/>
    <n v="57487"/>
    <n v="681"/>
    <x v="477"/>
    <n v="612"/>
    <n v="3966603"/>
    <x v="1"/>
    <n v="272930"/>
    <n v="215443"/>
  </r>
  <r>
    <x v="53"/>
    <x v="0"/>
    <x v="1"/>
    <n v="48380"/>
    <n v="791"/>
    <x v="478"/>
    <n v="741"/>
    <n v="2419000"/>
    <x v="1"/>
    <n v="395113"/>
    <n v="346733"/>
  </r>
  <r>
    <x v="53"/>
    <x v="0"/>
    <x v="2"/>
    <n v="73352"/>
    <n v="563"/>
    <x v="479"/>
    <n v="517"/>
    <n v="3374192"/>
    <x v="1"/>
    <n v="203191"/>
    <n v="129839"/>
  </r>
  <r>
    <x v="53"/>
    <x v="1"/>
    <x v="0"/>
    <n v="84641"/>
    <n v="659"/>
    <x v="480"/>
    <n v="582"/>
    <n v="6517357"/>
    <x v="1"/>
    <n v="337244"/>
    <n v="252603"/>
  </r>
  <r>
    <x v="53"/>
    <x v="1"/>
    <x v="1"/>
    <n v="40281"/>
    <n v="770"/>
    <x v="481"/>
    <n v="713"/>
    <n v="2296017"/>
    <x v="0"/>
    <n v="424033"/>
    <n v="383752"/>
  </r>
  <r>
    <x v="53"/>
    <x v="1"/>
    <x v="2"/>
    <n v="48602"/>
    <n v="585"/>
    <x v="482"/>
    <n v="548"/>
    <n v="1798274"/>
    <x v="1"/>
    <n v="354544"/>
    <n v="305942"/>
  </r>
  <r>
    <x v="53"/>
    <x v="2"/>
    <x v="0"/>
    <n v="27099"/>
    <n v="686"/>
    <x v="483"/>
    <n v="633"/>
    <n v="1436247"/>
    <x v="1"/>
    <n v="256492"/>
    <n v="229393"/>
  </r>
  <r>
    <x v="53"/>
    <x v="2"/>
    <x v="1"/>
    <n v="67684"/>
    <n v="836"/>
    <x v="484"/>
    <n v="770"/>
    <n v="4467144"/>
    <x v="0"/>
    <n v="401548"/>
    <n v="333864"/>
  </r>
  <r>
    <x v="53"/>
    <x v="2"/>
    <x v="2"/>
    <n v="80920"/>
    <n v="586"/>
    <x v="485"/>
    <n v="514"/>
    <n v="5826240"/>
    <x v="1"/>
    <n v="469932"/>
    <n v="389012"/>
  </r>
  <r>
    <x v="54"/>
    <x v="0"/>
    <x v="0"/>
    <n v="36531"/>
    <n v="620"/>
    <x v="486"/>
    <n v="551"/>
    <n v="2520639"/>
    <x v="0"/>
    <n v="341214"/>
    <n v="304683"/>
  </r>
  <r>
    <x v="54"/>
    <x v="0"/>
    <x v="1"/>
    <n v="68355"/>
    <n v="888"/>
    <x v="487"/>
    <n v="844"/>
    <n v="3007620"/>
    <x v="1"/>
    <n v="434706"/>
    <n v="366351"/>
  </r>
  <r>
    <x v="54"/>
    <x v="0"/>
    <x v="2"/>
    <n v="84027"/>
    <n v="550"/>
    <x v="488"/>
    <n v="478"/>
    <n v="6049944"/>
    <x v="1"/>
    <n v="292601"/>
    <n v="208574"/>
  </r>
  <r>
    <x v="54"/>
    <x v="1"/>
    <x v="0"/>
    <n v="25439"/>
    <n v="609"/>
    <x v="489"/>
    <n v="542"/>
    <n v="1704413"/>
    <x v="0"/>
    <n v="278815"/>
    <n v="253376"/>
  </r>
  <r>
    <x v="54"/>
    <x v="1"/>
    <x v="1"/>
    <n v="43888"/>
    <n v="885"/>
    <x v="490"/>
    <n v="816"/>
    <n v="3028272"/>
    <x v="1"/>
    <n v="327896"/>
    <n v="284008"/>
  </r>
  <r>
    <x v="54"/>
    <x v="1"/>
    <x v="2"/>
    <n v="72161"/>
    <n v="578"/>
    <x v="491"/>
    <n v="499"/>
    <n v="5700719"/>
    <x v="1"/>
    <n v="422146"/>
    <n v="349985"/>
  </r>
  <r>
    <x v="54"/>
    <x v="2"/>
    <x v="0"/>
    <n v="70979"/>
    <n v="667"/>
    <x v="492"/>
    <n v="624"/>
    <n v="3052097"/>
    <x v="1"/>
    <n v="373672"/>
    <n v="302693"/>
  </r>
  <r>
    <x v="54"/>
    <x v="2"/>
    <x v="1"/>
    <n v="81558"/>
    <n v="863"/>
    <x v="493"/>
    <n v="824"/>
    <n v="3180762"/>
    <x v="0"/>
    <n v="234964"/>
    <n v="153406"/>
  </r>
  <r>
    <x v="54"/>
    <x v="2"/>
    <x v="2"/>
    <n v="45227"/>
    <n v="590"/>
    <x v="494"/>
    <n v="521"/>
    <n v="3120663"/>
    <x v="0"/>
    <n v="479297"/>
    <n v="434070"/>
  </r>
  <r>
    <x v="55"/>
    <x v="0"/>
    <x v="0"/>
    <n v="59071"/>
    <n v="694"/>
    <x v="495"/>
    <n v="649"/>
    <n v="2658195"/>
    <x v="0"/>
    <n v="209503"/>
    <n v="150432"/>
  </r>
  <r>
    <x v="55"/>
    <x v="0"/>
    <x v="1"/>
    <n v="84379"/>
    <n v="760"/>
    <x v="496"/>
    <n v="721"/>
    <n v="3290781"/>
    <x v="1"/>
    <n v="245838"/>
    <n v="161459"/>
  </r>
  <r>
    <x v="55"/>
    <x v="0"/>
    <x v="2"/>
    <n v="78279"/>
    <n v="517"/>
    <x v="497"/>
    <n v="479"/>
    <n v="2974602"/>
    <x v="1"/>
    <n v="270119"/>
    <n v="191840"/>
  </r>
  <r>
    <x v="55"/>
    <x v="1"/>
    <x v="0"/>
    <n v="74093"/>
    <n v="688"/>
    <x v="498"/>
    <n v="609"/>
    <n v="5853347"/>
    <x v="0"/>
    <n v="377876"/>
    <n v="303783"/>
  </r>
  <r>
    <x v="55"/>
    <x v="1"/>
    <x v="1"/>
    <n v="84946"/>
    <n v="862"/>
    <x v="499"/>
    <n v="812"/>
    <n v="4247300"/>
    <x v="0"/>
    <n v="277794"/>
    <n v="192848"/>
  </r>
  <r>
    <x v="55"/>
    <x v="1"/>
    <x v="2"/>
    <n v="68758"/>
    <n v="538"/>
    <x v="500"/>
    <n v="460"/>
    <n v="5363124"/>
    <x v="1"/>
    <n v="237643"/>
    <n v="168885"/>
  </r>
  <r>
    <x v="55"/>
    <x v="2"/>
    <x v="0"/>
    <n v="63950"/>
    <n v="617"/>
    <x v="501"/>
    <n v="567"/>
    <n v="3197500"/>
    <x v="0"/>
    <n v="359116"/>
    <n v="295166"/>
  </r>
  <r>
    <x v="55"/>
    <x v="2"/>
    <x v="1"/>
    <n v="35997"/>
    <n v="885"/>
    <x v="502"/>
    <n v="810"/>
    <n v="2699775"/>
    <x v="0"/>
    <n v="425942"/>
    <n v="389945"/>
  </r>
  <r>
    <x v="55"/>
    <x v="2"/>
    <x v="2"/>
    <n v="77941"/>
    <n v="521"/>
    <x v="503"/>
    <n v="449"/>
    <n v="5611752"/>
    <x v="0"/>
    <n v="389784"/>
    <n v="311843"/>
  </r>
  <r>
    <x v="56"/>
    <x v="0"/>
    <x v="0"/>
    <n v="43387"/>
    <n v="628"/>
    <x v="504"/>
    <n v="586"/>
    <n v="1822254"/>
    <x v="0"/>
    <n v="285457"/>
    <n v="242070"/>
  </r>
  <r>
    <x v="56"/>
    <x v="0"/>
    <x v="1"/>
    <n v="84028"/>
    <n v="776"/>
    <x v="505"/>
    <n v="697"/>
    <n v="6638212"/>
    <x v="1"/>
    <n v="244638"/>
    <n v="160610"/>
  </r>
  <r>
    <x v="56"/>
    <x v="0"/>
    <x v="2"/>
    <n v="66486"/>
    <n v="587"/>
    <x v="506"/>
    <n v="514"/>
    <n v="4853478"/>
    <x v="0"/>
    <n v="257804"/>
    <n v="191318"/>
  </r>
  <r>
    <x v="56"/>
    <x v="1"/>
    <x v="0"/>
    <n v="23754"/>
    <n v="636"/>
    <x v="507"/>
    <n v="574"/>
    <n v="1472748"/>
    <x v="1"/>
    <n v="456695"/>
    <n v="432941"/>
  </r>
  <r>
    <x v="56"/>
    <x v="1"/>
    <x v="1"/>
    <n v="28894"/>
    <n v="867"/>
    <x v="508"/>
    <n v="819"/>
    <n v="1386912"/>
    <x v="0"/>
    <n v="382684"/>
    <n v="353790"/>
  </r>
  <r>
    <x v="56"/>
    <x v="1"/>
    <x v="2"/>
    <n v="25926"/>
    <n v="524"/>
    <x v="509"/>
    <n v="458"/>
    <n v="1711116"/>
    <x v="0"/>
    <n v="360878"/>
    <n v="334952"/>
  </r>
  <r>
    <x v="56"/>
    <x v="2"/>
    <x v="0"/>
    <n v="61321"/>
    <n v="657"/>
    <x v="510"/>
    <n v="612"/>
    <n v="2759445"/>
    <x v="1"/>
    <n v="255147"/>
    <n v="193826"/>
  </r>
  <r>
    <x v="56"/>
    <x v="2"/>
    <x v="1"/>
    <n v="69666"/>
    <n v="881"/>
    <x v="511"/>
    <n v="812"/>
    <n v="4806954"/>
    <x v="0"/>
    <n v="221727"/>
    <n v="152061"/>
  </r>
  <r>
    <x v="56"/>
    <x v="2"/>
    <x v="2"/>
    <n v="88056"/>
    <n v="509"/>
    <x v="512"/>
    <n v="459"/>
    <n v="4402800"/>
    <x v="0"/>
    <n v="367807"/>
    <n v="279751"/>
  </r>
  <r>
    <x v="57"/>
    <x v="0"/>
    <x v="0"/>
    <n v="45498"/>
    <n v="665"/>
    <x v="513"/>
    <n v="595"/>
    <n v="3184860"/>
    <x v="1"/>
    <n v="267695"/>
    <n v="222197"/>
  </r>
  <r>
    <x v="57"/>
    <x v="0"/>
    <x v="1"/>
    <n v="67701"/>
    <n v="839"/>
    <x v="514"/>
    <n v="798"/>
    <n v="2775741"/>
    <x v="0"/>
    <n v="226832"/>
    <n v="159131"/>
  </r>
  <r>
    <x v="57"/>
    <x v="0"/>
    <x v="2"/>
    <n v="33944"/>
    <n v="533"/>
    <x v="515"/>
    <n v="484"/>
    <n v="1663256"/>
    <x v="0"/>
    <n v="317322"/>
    <n v="283378"/>
  </r>
  <r>
    <x v="57"/>
    <x v="1"/>
    <x v="0"/>
    <n v="25110"/>
    <n v="669"/>
    <x v="516"/>
    <n v="621"/>
    <n v="1205280"/>
    <x v="1"/>
    <n v="300483"/>
    <n v="275373"/>
  </r>
  <r>
    <x v="57"/>
    <x v="1"/>
    <x v="1"/>
    <n v="29596"/>
    <n v="881"/>
    <x v="517"/>
    <n v="832"/>
    <n v="1450204"/>
    <x v="0"/>
    <n v="218313"/>
    <n v="188717"/>
  </r>
  <r>
    <x v="57"/>
    <x v="1"/>
    <x v="2"/>
    <n v="86549"/>
    <n v="598"/>
    <x v="518"/>
    <n v="543"/>
    <n v="4760195"/>
    <x v="0"/>
    <n v="398436"/>
    <n v="311887"/>
  </r>
  <r>
    <x v="57"/>
    <x v="2"/>
    <x v="0"/>
    <n v="22023"/>
    <n v="620"/>
    <x v="519"/>
    <n v="581"/>
    <n v="858897"/>
    <x v="0"/>
    <n v="264429"/>
    <n v="242406"/>
  </r>
  <r>
    <x v="57"/>
    <x v="2"/>
    <x v="1"/>
    <n v="81627"/>
    <n v="806"/>
    <x v="520"/>
    <n v="732"/>
    <n v="6040398"/>
    <x v="1"/>
    <n v="489910"/>
    <n v="408283"/>
  </r>
  <r>
    <x v="57"/>
    <x v="2"/>
    <x v="2"/>
    <n v="88099"/>
    <n v="592"/>
    <x v="521"/>
    <n v="549"/>
    <n v="3788257"/>
    <x v="0"/>
    <n v="269122"/>
    <n v="181023"/>
  </r>
  <r>
    <x v="58"/>
    <x v="0"/>
    <x v="0"/>
    <n v="68868"/>
    <n v="679"/>
    <x v="522"/>
    <n v="646"/>
    <n v="2272644"/>
    <x v="0"/>
    <n v="498871"/>
    <n v="430003"/>
  </r>
  <r>
    <x v="58"/>
    <x v="0"/>
    <x v="1"/>
    <n v="85697"/>
    <n v="831"/>
    <x v="523"/>
    <n v="783"/>
    <n v="4113456"/>
    <x v="0"/>
    <n v="394718"/>
    <n v="309021"/>
  </r>
  <r>
    <x v="58"/>
    <x v="0"/>
    <x v="2"/>
    <n v="48731"/>
    <n v="518"/>
    <x v="524"/>
    <n v="440"/>
    <n v="3801018"/>
    <x v="0"/>
    <n v="268926"/>
    <n v="220195"/>
  </r>
  <r>
    <x v="58"/>
    <x v="1"/>
    <x v="0"/>
    <n v="75506"/>
    <n v="621"/>
    <x v="525"/>
    <n v="568"/>
    <n v="4001818"/>
    <x v="0"/>
    <n v="242092"/>
    <n v="166586"/>
  </r>
  <r>
    <x v="58"/>
    <x v="1"/>
    <x v="1"/>
    <n v="86077"/>
    <n v="807"/>
    <x v="526"/>
    <n v="740"/>
    <n v="5767159"/>
    <x v="1"/>
    <n v="213428"/>
    <n v="127351"/>
  </r>
  <r>
    <x v="58"/>
    <x v="1"/>
    <x v="2"/>
    <n v="30258"/>
    <n v="547"/>
    <x v="527"/>
    <n v="473"/>
    <n v="2239092"/>
    <x v="1"/>
    <n v="467613"/>
    <n v="437355"/>
  </r>
  <r>
    <x v="58"/>
    <x v="2"/>
    <x v="0"/>
    <n v="26256"/>
    <n v="654"/>
    <x v="528"/>
    <n v="592"/>
    <n v="1627872"/>
    <x v="1"/>
    <n v="332723"/>
    <n v="306467"/>
  </r>
  <r>
    <x v="58"/>
    <x v="2"/>
    <x v="1"/>
    <n v="45051"/>
    <n v="796"/>
    <x v="529"/>
    <n v="756"/>
    <n v="1802040"/>
    <x v="0"/>
    <n v="233787"/>
    <n v="188736"/>
  </r>
  <r>
    <x v="58"/>
    <x v="2"/>
    <x v="2"/>
    <n v="79792"/>
    <n v="569"/>
    <x v="530"/>
    <n v="536"/>
    <n v="2633136"/>
    <x v="1"/>
    <n v="230447"/>
    <n v="150655"/>
  </r>
  <r>
    <x v="59"/>
    <x v="0"/>
    <x v="0"/>
    <n v="50254"/>
    <n v="677"/>
    <x v="531"/>
    <n v="637"/>
    <n v="2010160"/>
    <x v="1"/>
    <n v="203471"/>
    <n v="153217"/>
  </r>
  <r>
    <x v="59"/>
    <x v="0"/>
    <x v="1"/>
    <n v="28329"/>
    <n v="799"/>
    <x v="532"/>
    <n v="767"/>
    <n v="906528"/>
    <x v="1"/>
    <n v="443306"/>
    <n v="414977"/>
  </r>
  <r>
    <x v="59"/>
    <x v="0"/>
    <x v="2"/>
    <n v="26397"/>
    <n v="569"/>
    <x v="533"/>
    <n v="523"/>
    <n v="1214262"/>
    <x v="1"/>
    <n v="421178"/>
    <n v="394781"/>
  </r>
  <r>
    <x v="59"/>
    <x v="1"/>
    <x v="0"/>
    <n v="43284"/>
    <n v="618"/>
    <x v="534"/>
    <n v="547"/>
    <n v="3073164"/>
    <x v="0"/>
    <n v="487266"/>
    <n v="443982"/>
  </r>
  <r>
    <x v="59"/>
    <x v="1"/>
    <x v="1"/>
    <n v="82812"/>
    <n v="813"/>
    <x v="535"/>
    <n v="747"/>
    <n v="5465592"/>
    <x v="1"/>
    <n v="333168"/>
    <n v="250356"/>
  </r>
  <r>
    <x v="59"/>
    <x v="1"/>
    <x v="2"/>
    <n v="45279"/>
    <n v="504"/>
    <x v="536"/>
    <n v="439"/>
    <n v="2943135"/>
    <x v="0"/>
    <n v="445317"/>
    <n v="400038"/>
  </r>
  <r>
    <x v="59"/>
    <x v="2"/>
    <x v="0"/>
    <n v="39715"/>
    <n v="638"/>
    <x v="537"/>
    <n v="559"/>
    <n v="3137485"/>
    <x v="1"/>
    <n v="464983"/>
    <n v="425268"/>
  </r>
  <r>
    <x v="59"/>
    <x v="2"/>
    <x v="1"/>
    <n v="63619"/>
    <n v="819"/>
    <x v="538"/>
    <n v="749"/>
    <n v="4453330"/>
    <x v="0"/>
    <n v="217069"/>
    <n v="153450"/>
  </r>
  <r>
    <x v="59"/>
    <x v="2"/>
    <x v="2"/>
    <n v="27531"/>
    <n v="559"/>
    <x v="539"/>
    <n v="499"/>
    <n v="1651860"/>
    <x v="0"/>
    <n v="267155"/>
    <n v="239624"/>
  </r>
  <r>
    <x v="60"/>
    <x v="0"/>
    <x v="0"/>
    <n v="82424"/>
    <n v="635"/>
    <x v="540"/>
    <n v="585"/>
    <n v="4121200"/>
    <x v="0"/>
    <n v="332503"/>
    <n v="250079"/>
  </r>
  <r>
    <x v="60"/>
    <x v="0"/>
    <x v="1"/>
    <n v="57481"/>
    <n v="835"/>
    <x v="541"/>
    <n v="778"/>
    <n v="3276417"/>
    <x v="1"/>
    <n v="331234"/>
    <n v="273753"/>
  </r>
  <r>
    <x v="60"/>
    <x v="0"/>
    <x v="2"/>
    <n v="39675"/>
    <n v="513"/>
    <x v="542"/>
    <n v="474"/>
    <n v="1547325"/>
    <x v="0"/>
    <n v="431390"/>
    <n v="391715"/>
  </r>
  <r>
    <x v="60"/>
    <x v="1"/>
    <x v="0"/>
    <n v="27896"/>
    <n v="676"/>
    <x v="543"/>
    <n v="641"/>
    <n v="976360"/>
    <x v="1"/>
    <n v="451435"/>
    <n v="423539"/>
  </r>
  <r>
    <x v="60"/>
    <x v="1"/>
    <x v="1"/>
    <n v="25347"/>
    <n v="856"/>
    <x v="544"/>
    <n v="807"/>
    <n v="1242003"/>
    <x v="1"/>
    <n v="480825"/>
    <n v="455478"/>
  </r>
  <r>
    <x v="60"/>
    <x v="1"/>
    <x v="2"/>
    <n v="35892"/>
    <n v="567"/>
    <x v="545"/>
    <n v="488"/>
    <n v="2835468"/>
    <x v="1"/>
    <n v="230682"/>
    <n v="194790"/>
  </r>
  <r>
    <x v="60"/>
    <x v="2"/>
    <x v="0"/>
    <n v="34289"/>
    <n v="631"/>
    <x v="546"/>
    <n v="591"/>
    <n v="1371560"/>
    <x v="0"/>
    <n v="266707"/>
    <n v="232418"/>
  </r>
  <r>
    <x v="60"/>
    <x v="2"/>
    <x v="1"/>
    <n v="85428"/>
    <n v="869"/>
    <x v="547"/>
    <n v="826"/>
    <n v="3673404"/>
    <x v="0"/>
    <n v="451924"/>
    <n v="366496"/>
  </r>
  <r>
    <x v="60"/>
    <x v="2"/>
    <x v="2"/>
    <n v="48228"/>
    <n v="502"/>
    <x v="548"/>
    <n v="450"/>
    <n v="2507856"/>
    <x v="0"/>
    <n v="322788"/>
    <n v="274560"/>
  </r>
  <r>
    <x v="61"/>
    <x v="0"/>
    <x v="0"/>
    <n v="46928"/>
    <n v="618"/>
    <x v="549"/>
    <n v="564"/>
    <n v="2534112"/>
    <x v="0"/>
    <n v="262292"/>
    <n v="215364"/>
  </r>
  <r>
    <x v="61"/>
    <x v="0"/>
    <x v="1"/>
    <n v="62891"/>
    <n v="866"/>
    <x v="550"/>
    <n v="833"/>
    <n v="2075403"/>
    <x v="0"/>
    <n v="291006"/>
    <n v="228115"/>
  </r>
  <r>
    <x v="61"/>
    <x v="0"/>
    <x v="2"/>
    <n v="35352"/>
    <n v="570"/>
    <x v="551"/>
    <n v="519"/>
    <n v="1802952"/>
    <x v="1"/>
    <n v="481590"/>
    <n v="446238"/>
  </r>
  <r>
    <x v="61"/>
    <x v="1"/>
    <x v="0"/>
    <n v="82032"/>
    <n v="623"/>
    <x v="552"/>
    <n v="560"/>
    <n v="5168016"/>
    <x v="0"/>
    <n v="402779"/>
    <n v="320747"/>
  </r>
  <r>
    <x v="61"/>
    <x v="1"/>
    <x v="1"/>
    <n v="38474"/>
    <n v="835"/>
    <x v="553"/>
    <n v="757"/>
    <n v="3000972"/>
    <x v="0"/>
    <n v="459013"/>
    <n v="420539"/>
  </r>
  <r>
    <x v="61"/>
    <x v="1"/>
    <x v="2"/>
    <n v="89184"/>
    <n v="573"/>
    <x v="554"/>
    <n v="523"/>
    <n v="4459200"/>
    <x v="0"/>
    <n v="283457"/>
    <n v="194273"/>
  </r>
  <r>
    <x v="61"/>
    <x v="2"/>
    <x v="0"/>
    <n v="88673"/>
    <n v="673"/>
    <x v="555"/>
    <n v="610"/>
    <n v="5586399"/>
    <x v="0"/>
    <n v="408015"/>
    <n v="319342"/>
  </r>
  <r>
    <x v="61"/>
    <x v="2"/>
    <x v="1"/>
    <n v="32924"/>
    <n v="835"/>
    <x v="556"/>
    <n v="794"/>
    <n v="1349884"/>
    <x v="1"/>
    <n v="274071"/>
    <n v="241147"/>
  </r>
  <r>
    <x v="61"/>
    <x v="2"/>
    <x v="2"/>
    <n v="50651"/>
    <n v="558"/>
    <x v="557"/>
    <n v="519"/>
    <n v="1975389"/>
    <x v="0"/>
    <n v="348066"/>
    <n v="297415"/>
  </r>
  <r>
    <x v="62"/>
    <x v="0"/>
    <x v="0"/>
    <n v="79634"/>
    <n v="662"/>
    <x v="558"/>
    <n v="584"/>
    <n v="6211452"/>
    <x v="0"/>
    <n v="499967"/>
    <n v="420333"/>
  </r>
  <r>
    <x v="62"/>
    <x v="0"/>
    <x v="1"/>
    <n v="83878"/>
    <n v="770"/>
    <x v="559"/>
    <n v="721"/>
    <n v="4110022"/>
    <x v="1"/>
    <n v="405977"/>
    <n v="322099"/>
  </r>
  <r>
    <x v="62"/>
    <x v="0"/>
    <x v="2"/>
    <n v="29283"/>
    <n v="585"/>
    <x v="560"/>
    <n v="541"/>
    <n v="1288452"/>
    <x v="0"/>
    <n v="403127"/>
    <n v="373844"/>
  </r>
  <r>
    <x v="62"/>
    <x v="1"/>
    <x v="0"/>
    <n v="38133"/>
    <n v="691"/>
    <x v="561"/>
    <n v="648"/>
    <n v="1639719"/>
    <x v="1"/>
    <n v="314586"/>
    <n v="276453"/>
  </r>
  <r>
    <x v="62"/>
    <x v="1"/>
    <x v="1"/>
    <n v="47624"/>
    <n v="807"/>
    <x v="562"/>
    <n v="750"/>
    <n v="2714568"/>
    <x v="1"/>
    <n v="371033"/>
    <n v="323409"/>
  </r>
  <r>
    <x v="62"/>
    <x v="1"/>
    <x v="2"/>
    <n v="49118"/>
    <n v="565"/>
    <x v="563"/>
    <n v="511"/>
    <n v="2652372"/>
    <x v="0"/>
    <n v="353335"/>
    <n v="304217"/>
  </r>
  <r>
    <x v="62"/>
    <x v="2"/>
    <x v="0"/>
    <n v="40354"/>
    <n v="671"/>
    <x v="564"/>
    <n v="598"/>
    <n v="2945842"/>
    <x v="0"/>
    <n v="223648"/>
    <n v="183294"/>
  </r>
  <r>
    <x v="62"/>
    <x v="2"/>
    <x v="1"/>
    <n v="61971"/>
    <n v="755"/>
    <x v="565"/>
    <n v="687"/>
    <n v="4214028"/>
    <x v="1"/>
    <n v="379635"/>
    <n v="317664"/>
  </r>
  <r>
    <x v="62"/>
    <x v="2"/>
    <x v="2"/>
    <n v="71578"/>
    <n v="549"/>
    <x v="566"/>
    <n v="477"/>
    <n v="5153616"/>
    <x v="1"/>
    <n v="337924"/>
    <n v="266346"/>
  </r>
  <r>
    <x v="63"/>
    <x v="0"/>
    <x v="0"/>
    <n v="22551"/>
    <n v="611"/>
    <x v="567"/>
    <n v="572"/>
    <n v="879489"/>
    <x v="0"/>
    <n v="380231"/>
    <n v="357680"/>
  </r>
  <r>
    <x v="63"/>
    <x v="0"/>
    <x v="1"/>
    <n v="71707"/>
    <n v="790"/>
    <x v="568"/>
    <n v="725"/>
    <n v="4660955"/>
    <x v="0"/>
    <n v="461716"/>
    <n v="390009"/>
  </r>
  <r>
    <x v="63"/>
    <x v="0"/>
    <x v="2"/>
    <n v="26710"/>
    <n v="508"/>
    <x v="569"/>
    <n v="432"/>
    <n v="2029960"/>
    <x v="0"/>
    <n v="371918"/>
    <n v="345208"/>
  </r>
  <r>
    <x v="63"/>
    <x v="1"/>
    <x v="0"/>
    <n v="87821"/>
    <n v="681"/>
    <x v="570"/>
    <n v="610"/>
    <n v="6235291"/>
    <x v="0"/>
    <n v="408139"/>
    <n v="320318"/>
  </r>
  <r>
    <x v="63"/>
    <x v="1"/>
    <x v="1"/>
    <n v="57711"/>
    <n v="880"/>
    <x v="571"/>
    <n v="806"/>
    <n v="4270614"/>
    <x v="1"/>
    <n v="265794"/>
    <n v="208083"/>
  </r>
  <r>
    <x v="63"/>
    <x v="1"/>
    <x v="2"/>
    <n v="21898"/>
    <n v="539"/>
    <x v="572"/>
    <n v="472"/>
    <n v="1467166"/>
    <x v="0"/>
    <n v="450870"/>
    <n v="428972"/>
  </r>
  <r>
    <x v="63"/>
    <x v="2"/>
    <x v="0"/>
    <n v="85031"/>
    <n v="631"/>
    <x v="573"/>
    <n v="554"/>
    <n v="6547387"/>
    <x v="1"/>
    <n v="220074"/>
    <n v="135043"/>
  </r>
  <r>
    <x v="63"/>
    <x v="2"/>
    <x v="1"/>
    <n v="87843"/>
    <n v="859"/>
    <x v="574"/>
    <n v="811"/>
    <n v="4216464"/>
    <x v="1"/>
    <n v="262987"/>
    <n v="175144"/>
  </r>
  <r>
    <x v="63"/>
    <x v="2"/>
    <x v="2"/>
    <n v="74400"/>
    <n v="562"/>
    <x v="575"/>
    <n v="488"/>
    <n v="5505600"/>
    <x v="0"/>
    <n v="319052"/>
    <n v="244652"/>
  </r>
  <r>
    <x v="64"/>
    <x v="0"/>
    <x v="0"/>
    <n v="21283"/>
    <n v="627"/>
    <x v="576"/>
    <n v="560"/>
    <n v="1425961"/>
    <x v="1"/>
    <n v="398137"/>
    <n v="376854"/>
  </r>
  <r>
    <x v="64"/>
    <x v="0"/>
    <x v="1"/>
    <n v="46170"/>
    <n v="877"/>
    <x v="577"/>
    <n v="821"/>
    <n v="2585520"/>
    <x v="1"/>
    <n v="471896"/>
    <n v="425726"/>
  </r>
  <r>
    <x v="64"/>
    <x v="0"/>
    <x v="2"/>
    <n v="46819"/>
    <n v="524"/>
    <x v="578"/>
    <n v="475"/>
    <n v="2294131"/>
    <x v="0"/>
    <n v="355289"/>
    <n v="308470"/>
  </r>
  <r>
    <x v="64"/>
    <x v="1"/>
    <x v="0"/>
    <n v="52994"/>
    <n v="660"/>
    <x v="579"/>
    <n v="603"/>
    <n v="3020658"/>
    <x v="1"/>
    <n v="297756"/>
    <n v="244762"/>
  </r>
  <r>
    <x v="64"/>
    <x v="1"/>
    <x v="1"/>
    <n v="29587"/>
    <n v="883"/>
    <x v="580"/>
    <n v="835"/>
    <n v="1420176"/>
    <x v="0"/>
    <n v="461691"/>
    <n v="432104"/>
  </r>
  <r>
    <x v="64"/>
    <x v="1"/>
    <x v="2"/>
    <n v="50090"/>
    <n v="565"/>
    <x v="581"/>
    <n v="489"/>
    <n v="3806840"/>
    <x v="0"/>
    <n v="443051"/>
    <n v="392961"/>
  </r>
  <r>
    <x v="64"/>
    <x v="2"/>
    <x v="0"/>
    <n v="38888"/>
    <n v="684"/>
    <x v="582"/>
    <n v="631"/>
    <n v="2061064"/>
    <x v="1"/>
    <n v="377109"/>
    <n v="338221"/>
  </r>
  <r>
    <x v="64"/>
    <x v="2"/>
    <x v="1"/>
    <n v="20587"/>
    <n v="779"/>
    <x v="583"/>
    <n v="724"/>
    <n v="1132285"/>
    <x v="0"/>
    <n v="320987"/>
    <n v="300400"/>
  </r>
  <r>
    <x v="64"/>
    <x v="2"/>
    <x v="2"/>
    <n v="45556"/>
    <n v="534"/>
    <x v="584"/>
    <n v="471"/>
    <n v="2870028"/>
    <x v="1"/>
    <n v="376168"/>
    <n v="330612"/>
  </r>
  <r>
    <x v="65"/>
    <x v="0"/>
    <x v="0"/>
    <n v="33230"/>
    <n v="681"/>
    <x v="585"/>
    <n v="641"/>
    <n v="1329200"/>
    <x v="1"/>
    <n v="305400"/>
    <n v="272170"/>
  </r>
  <r>
    <x v="65"/>
    <x v="0"/>
    <x v="1"/>
    <n v="61855"/>
    <n v="899"/>
    <x v="586"/>
    <n v="853"/>
    <n v="2845330"/>
    <x v="0"/>
    <n v="272516"/>
    <n v="210661"/>
  </r>
  <r>
    <x v="65"/>
    <x v="0"/>
    <x v="2"/>
    <n v="38058"/>
    <n v="593"/>
    <x v="587"/>
    <n v="549"/>
    <n v="1674552"/>
    <x v="1"/>
    <n v="494746"/>
    <n v="456688"/>
  </r>
  <r>
    <x v="65"/>
    <x v="1"/>
    <x v="0"/>
    <n v="78067"/>
    <n v="615"/>
    <x v="588"/>
    <n v="552"/>
    <n v="4918221"/>
    <x v="1"/>
    <n v="332161"/>
    <n v="254094"/>
  </r>
  <r>
    <x v="65"/>
    <x v="1"/>
    <x v="1"/>
    <n v="30487"/>
    <n v="796"/>
    <x v="589"/>
    <n v="728"/>
    <n v="2073116"/>
    <x v="1"/>
    <n v="276229"/>
    <n v="245742"/>
  </r>
  <r>
    <x v="65"/>
    <x v="1"/>
    <x v="2"/>
    <n v="58547"/>
    <n v="500"/>
    <x v="590"/>
    <n v="463"/>
    <n v="2166239"/>
    <x v="1"/>
    <n v="367670"/>
    <n v="309123"/>
  </r>
  <r>
    <x v="65"/>
    <x v="2"/>
    <x v="0"/>
    <n v="83278"/>
    <n v="637"/>
    <x v="591"/>
    <n v="593"/>
    <n v="3664232"/>
    <x v="1"/>
    <n v="302932"/>
    <n v="219654"/>
  </r>
  <r>
    <x v="65"/>
    <x v="2"/>
    <x v="1"/>
    <n v="29528"/>
    <n v="866"/>
    <x v="592"/>
    <n v="791"/>
    <n v="2214600"/>
    <x v="0"/>
    <n v="386339"/>
    <n v="356811"/>
  </r>
  <r>
    <x v="65"/>
    <x v="2"/>
    <x v="2"/>
    <n v="43952"/>
    <n v="538"/>
    <x v="593"/>
    <n v="500"/>
    <n v="1670176"/>
    <x v="1"/>
    <n v="250939"/>
    <n v="206987"/>
  </r>
  <r>
    <x v="66"/>
    <x v="0"/>
    <x v="0"/>
    <n v="76526"/>
    <n v="681"/>
    <x v="594"/>
    <n v="619"/>
    <n v="4744612"/>
    <x v="1"/>
    <n v="484890"/>
    <n v="408364"/>
  </r>
  <r>
    <x v="66"/>
    <x v="0"/>
    <x v="1"/>
    <n v="78810"/>
    <n v="840"/>
    <x v="595"/>
    <n v="777"/>
    <n v="4965030"/>
    <x v="0"/>
    <n v="346295"/>
    <n v="267485"/>
  </r>
  <r>
    <x v="66"/>
    <x v="0"/>
    <x v="2"/>
    <n v="22597"/>
    <n v="513"/>
    <x v="596"/>
    <n v="448"/>
    <n v="1468805"/>
    <x v="0"/>
    <n v="286516"/>
    <n v="263919"/>
  </r>
  <r>
    <x v="66"/>
    <x v="1"/>
    <x v="0"/>
    <n v="35037"/>
    <n v="634"/>
    <x v="597"/>
    <n v="586"/>
    <n v="1681776"/>
    <x v="1"/>
    <n v="212109"/>
    <n v="177072"/>
  </r>
  <r>
    <x v="66"/>
    <x v="1"/>
    <x v="1"/>
    <n v="28787"/>
    <n v="862"/>
    <x v="598"/>
    <n v="808"/>
    <n v="1554498"/>
    <x v="0"/>
    <n v="446183"/>
    <n v="417396"/>
  </r>
  <r>
    <x v="66"/>
    <x v="1"/>
    <x v="2"/>
    <n v="81709"/>
    <n v="525"/>
    <x v="599"/>
    <n v="458"/>
    <n v="5474503"/>
    <x v="0"/>
    <n v="234518"/>
    <n v="152809"/>
  </r>
  <r>
    <x v="66"/>
    <x v="2"/>
    <x v="0"/>
    <n v="38351"/>
    <n v="682"/>
    <x v="600"/>
    <n v="607"/>
    <n v="2876325"/>
    <x v="1"/>
    <n v="215282"/>
    <n v="176931"/>
  </r>
  <r>
    <x v="66"/>
    <x v="2"/>
    <x v="1"/>
    <n v="41778"/>
    <n v="777"/>
    <x v="601"/>
    <n v="728"/>
    <n v="2047122"/>
    <x v="0"/>
    <n v="379526"/>
    <n v="337748"/>
  </r>
  <r>
    <x v="66"/>
    <x v="2"/>
    <x v="2"/>
    <n v="68200"/>
    <n v="518"/>
    <x v="602"/>
    <n v="442"/>
    <n v="5183200"/>
    <x v="0"/>
    <n v="256307"/>
    <n v="188107"/>
  </r>
  <r>
    <x v="67"/>
    <x v="0"/>
    <x v="0"/>
    <n v="70085"/>
    <n v="652"/>
    <x v="603"/>
    <n v="587"/>
    <n v="4555525"/>
    <x v="0"/>
    <n v="243472"/>
    <n v="173387"/>
  </r>
  <r>
    <x v="67"/>
    <x v="0"/>
    <x v="1"/>
    <n v="69416"/>
    <n v="813"/>
    <x v="604"/>
    <n v="751"/>
    <n v="4303792"/>
    <x v="0"/>
    <n v="277175"/>
    <n v="207759"/>
  </r>
  <r>
    <x v="67"/>
    <x v="0"/>
    <x v="2"/>
    <n v="66733"/>
    <n v="574"/>
    <x v="605"/>
    <n v="510"/>
    <n v="4270912"/>
    <x v="1"/>
    <n v="342312"/>
    <n v="275579"/>
  </r>
  <r>
    <x v="67"/>
    <x v="1"/>
    <x v="0"/>
    <n v="52762"/>
    <n v="667"/>
    <x v="606"/>
    <n v="610"/>
    <n v="3007434"/>
    <x v="1"/>
    <n v="476993"/>
    <n v="424231"/>
  </r>
  <r>
    <x v="67"/>
    <x v="1"/>
    <x v="1"/>
    <n v="74869"/>
    <n v="869"/>
    <x v="607"/>
    <n v="824"/>
    <n v="3369105"/>
    <x v="0"/>
    <n v="235292"/>
    <n v="160423"/>
  </r>
  <r>
    <x v="67"/>
    <x v="1"/>
    <x v="2"/>
    <n v="71631"/>
    <n v="529"/>
    <x v="608"/>
    <n v="488"/>
    <n v="2936871"/>
    <x v="1"/>
    <n v="385378"/>
    <n v="313747"/>
  </r>
  <r>
    <x v="67"/>
    <x v="2"/>
    <x v="0"/>
    <n v="85087"/>
    <n v="649"/>
    <x v="609"/>
    <n v="599"/>
    <n v="4254350"/>
    <x v="1"/>
    <n v="249812"/>
    <n v="164725"/>
  </r>
  <r>
    <x v="67"/>
    <x v="2"/>
    <x v="1"/>
    <n v="78643"/>
    <n v="850"/>
    <x v="610"/>
    <n v="818"/>
    <n v="2516576"/>
    <x v="1"/>
    <n v="478432"/>
    <n v="399789"/>
  </r>
  <r>
    <x v="67"/>
    <x v="2"/>
    <x v="2"/>
    <n v="87580"/>
    <n v="572"/>
    <x v="611"/>
    <n v="534"/>
    <n v="3328040"/>
    <x v="1"/>
    <n v="246403"/>
    <n v="158823"/>
  </r>
  <r>
    <x v="68"/>
    <x v="0"/>
    <x v="0"/>
    <n v="29168"/>
    <n v="697"/>
    <x v="612"/>
    <n v="644"/>
    <n v="1545904"/>
    <x v="1"/>
    <n v="259871"/>
    <n v="230703"/>
  </r>
  <r>
    <x v="68"/>
    <x v="0"/>
    <x v="1"/>
    <n v="52174"/>
    <n v="825"/>
    <x v="613"/>
    <n v="784"/>
    <n v="2139134"/>
    <x v="0"/>
    <n v="488793"/>
    <n v="436619"/>
  </r>
  <r>
    <x v="68"/>
    <x v="0"/>
    <x v="2"/>
    <n v="34567"/>
    <n v="520"/>
    <x v="614"/>
    <n v="453"/>
    <n v="2315989"/>
    <x v="1"/>
    <n v="296019"/>
    <n v="261452"/>
  </r>
  <r>
    <x v="68"/>
    <x v="1"/>
    <x v="0"/>
    <n v="48803"/>
    <n v="654"/>
    <x v="615"/>
    <n v="618"/>
    <n v="1756908"/>
    <x v="0"/>
    <n v="430147"/>
    <n v="381344"/>
  </r>
  <r>
    <x v="68"/>
    <x v="1"/>
    <x v="1"/>
    <n v="50795"/>
    <n v="816"/>
    <x v="616"/>
    <n v="765"/>
    <n v="2590545"/>
    <x v="1"/>
    <n v="479713"/>
    <n v="428918"/>
  </r>
  <r>
    <x v="68"/>
    <x v="1"/>
    <x v="2"/>
    <n v="31190"/>
    <n v="500"/>
    <x v="617"/>
    <n v="463"/>
    <n v="1154030"/>
    <x v="0"/>
    <n v="240197"/>
    <n v="209007"/>
  </r>
  <r>
    <x v="68"/>
    <x v="2"/>
    <x v="0"/>
    <n v="46512"/>
    <n v="660"/>
    <x v="618"/>
    <n v="619"/>
    <n v="1906992"/>
    <x v="0"/>
    <n v="491077"/>
    <n v="444565"/>
  </r>
  <r>
    <x v="68"/>
    <x v="2"/>
    <x v="1"/>
    <n v="24378"/>
    <n v="885"/>
    <x v="619"/>
    <n v="837"/>
    <n v="1170144"/>
    <x v="1"/>
    <n v="360105"/>
    <n v="335727"/>
  </r>
  <r>
    <x v="68"/>
    <x v="2"/>
    <x v="2"/>
    <n v="62604"/>
    <n v="598"/>
    <x v="620"/>
    <n v="529"/>
    <n v="4319676"/>
    <x v="1"/>
    <n v="273869"/>
    <n v="211265"/>
  </r>
  <r>
    <x v="69"/>
    <x v="0"/>
    <x v="0"/>
    <n v="76044"/>
    <n v="683"/>
    <x v="621"/>
    <n v="605"/>
    <n v="5931432"/>
    <x v="0"/>
    <n v="286716"/>
    <n v="210672"/>
  </r>
  <r>
    <x v="69"/>
    <x v="0"/>
    <x v="1"/>
    <n v="63056"/>
    <n v="795"/>
    <x v="622"/>
    <n v="717"/>
    <n v="4918368"/>
    <x v="1"/>
    <n v="479687"/>
    <n v="416631"/>
  </r>
  <r>
    <x v="69"/>
    <x v="0"/>
    <x v="2"/>
    <n v="36724"/>
    <n v="548"/>
    <x v="623"/>
    <n v="477"/>
    <n v="2607404"/>
    <x v="0"/>
    <n v="336554"/>
    <n v="299830"/>
  </r>
  <r>
    <x v="69"/>
    <x v="1"/>
    <x v="0"/>
    <n v="70952"/>
    <n v="687"/>
    <x v="624"/>
    <n v="621"/>
    <n v="4682832"/>
    <x v="1"/>
    <n v="270448"/>
    <n v="199496"/>
  </r>
  <r>
    <x v="69"/>
    <x v="1"/>
    <x v="1"/>
    <n v="53623"/>
    <n v="770"/>
    <x v="625"/>
    <n v="702"/>
    <n v="3646364"/>
    <x v="1"/>
    <n v="222054"/>
    <n v="168431"/>
  </r>
  <r>
    <x v="69"/>
    <x v="1"/>
    <x v="2"/>
    <n v="42207"/>
    <n v="510"/>
    <x v="626"/>
    <n v="435"/>
    <n v="3165525"/>
    <x v="1"/>
    <n v="281554"/>
    <n v="239347"/>
  </r>
  <r>
    <x v="69"/>
    <x v="2"/>
    <x v="0"/>
    <n v="79518"/>
    <n v="645"/>
    <x v="627"/>
    <n v="571"/>
    <n v="5884332"/>
    <x v="0"/>
    <n v="392512"/>
    <n v="312994"/>
  </r>
  <r>
    <x v="69"/>
    <x v="2"/>
    <x v="1"/>
    <n v="81035"/>
    <n v="768"/>
    <x v="628"/>
    <n v="727"/>
    <n v="3322435"/>
    <x v="0"/>
    <n v="442247"/>
    <n v="361212"/>
  </r>
  <r>
    <x v="69"/>
    <x v="2"/>
    <x v="2"/>
    <n v="80348"/>
    <n v="511"/>
    <x v="629"/>
    <n v="434"/>
    <n v="6186796"/>
    <x v="0"/>
    <n v="457324"/>
    <n v="376976"/>
  </r>
  <r>
    <x v="70"/>
    <x v="0"/>
    <x v="0"/>
    <n v="75398"/>
    <n v="691"/>
    <x v="630"/>
    <n v="657"/>
    <n v="2563532"/>
    <x v="0"/>
    <n v="409754"/>
    <n v="334356"/>
  </r>
  <r>
    <x v="70"/>
    <x v="0"/>
    <x v="1"/>
    <n v="72893"/>
    <n v="833"/>
    <x v="631"/>
    <n v="786"/>
    <n v="3425971"/>
    <x v="0"/>
    <n v="238211"/>
    <n v="165318"/>
  </r>
  <r>
    <x v="70"/>
    <x v="0"/>
    <x v="2"/>
    <n v="23744"/>
    <n v="535"/>
    <x v="632"/>
    <n v="488"/>
    <n v="1115968"/>
    <x v="1"/>
    <n v="429010"/>
    <n v="405266"/>
  </r>
  <r>
    <x v="70"/>
    <x v="1"/>
    <x v="0"/>
    <n v="30651"/>
    <n v="639"/>
    <x v="633"/>
    <n v="590"/>
    <n v="1501899"/>
    <x v="1"/>
    <n v="426416"/>
    <n v="395765"/>
  </r>
  <r>
    <x v="70"/>
    <x v="1"/>
    <x v="1"/>
    <n v="36715"/>
    <n v="871"/>
    <x v="634"/>
    <n v="827"/>
    <n v="1615460"/>
    <x v="1"/>
    <n v="341130"/>
    <n v="304415"/>
  </r>
  <r>
    <x v="70"/>
    <x v="1"/>
    <x v="2"/>
    <n v="84200"/>
    <n v="538"/>
    <x v="635"/>
    <n v="481"/>
    <n v="4799400"/>
    <x v="1"/>
    <n v="456453"/>
    <n v="372253"/>
  </r>
  <r>
    <x v="70"/>
    <x v="2"/>
    <x v="0"/>
    <n v="82068"/>
    <n v="601"/>
    <x v="636"/>
    <n v="543"/>
    <n v="4759944"/>
    <x v="1"/>
    <n v="361445"/>
    <n v="279377"/>
  </r>
  <r>
    <x v="70"/>
    <x v="2"/>
    <x v="1"/>
    <n v="26031"/>
    <n v="843"/>
    <x v="637"/>
    <n v="774"/>
    <n v="1796139"/>
    <x v="1"/>
    <n v="484929"/>
    <n v="458898"/>
  </r>
  <r>
    <x v="70"/>
    <x v="2"/>
    <x v="2"/>
    <n v="48669"/>
    <n v="511"/>
    <x v="638"/>
    <n v="447"/>
    <n v="3114816"/>
    <x v="1"/>
    <n v="202282"/>
    <n v="153613"/>
  </r>
  <r>
    <x v="71"/>
    <x v="0"/>
    <x v="0"/>
    <n v="68438"/>
    <n v="644"/>
    <x v="639"/>
    <n v="600"/>
    <n v="3011272"/>
    <x v="1"/>
    <n v="362777"/>
    <n v="294339"/>
  </r>
  <r>
    <x v="71"/>
    <x v="0"/>
    <x v="1"/>
    <n v="57437"/>
    <n v="798"/>
    <x v="640"/>
    <n v="738"/>
    <n v="3446220"/>
    <x v="1"/>
    <n v="436440"/>
    <n v="379003"/>
  </r>
  <r>
    <x v="71"/>
    <x v="0"/>
    <x v="2"/>
    <n v="70583"/>
    <n v="537"/>
    <x v="641"/>
    <n v="480"/>
    <n v="4023231"/>
    <x v="0"/>
    <n v="472660"/>
    <n v="402077"/>
  </r>
  <r>
    <x v="71"/>
    <x v="1"/>
    <x v="0"/>
    <n v="37514"/>
    <n v="617"/>
    <x v="642"/>
    <n v="552"/>
    <n v="2438410"/>
    <x v="1"/>
    <n v="431496"/>
    <n v="393982"/>
  </r>
  <r>
    <x v="71"/>
    <x v="1"/>
    <x v="1"/>
    <n v="81049"/>
    <n v="779"/>
    <x v="643"/>
    <n v="706"/>
    <n v="5916577"/>
    <x v="0"/>
    <n v="373921"/>
    <n v="292872"/>
  </r>
  <r>
    <x v="71"/>
    <x v="1"/>
    <x v="2"/>
    <n v="37858"/>
    <n v="566"/>
    <x v="644"/>
    <n v="509"/>
    <n v="2157906"/>
    <x v="1"/>
    <n v="383467"/>
    <n v="345609"/>
  </r>
  <r>
    <x v="71"/>
    <x v="2"/>
    <x v="0"/>
    <n v="74312"/>
    <n v="662"/>
    <x v="645"/>
    <n v="610"/>
    <n v="3864224"/>
    <x v="1"/>
    <n v="282279"/>
    <n v="207967"/>
  </r>
  <r>
    <x v="71"/>
    <x v="2"/>
    <x v="1"/>
    <n v="84047"/>
    <n v="806"/>
    <x v="646"/>
    <n v="741"/>
    <n v="5463055"/>
    <x v="1"/>
    <n v="328379"/>
    <n v="244332"/>
  </r>
  <r>
    <x v="71"/>
    <x v="2"/>
    <x v="2"/>
    <n v="65734"/>
    <n v="533"/>
    <x v="647"/>
    <n v="476"/>
    <n v="3746838"/>
    <x v="1"/>
    <n v="268803"/>
    <n v="203069"/>
  </r>
  <r>
    <x v="72"/>
    <x v="0"/>
    <x v="0"/>
    <n v="41312"/>
    <n v="664"/>
    <x v="648"/>
    <n v="588"/>
    <n v="3139712"/>
    <x v="1"/>
    <n v="375251"/>
    <n v="333939"/>
  </r>
  <r>
    <x v="72"/>
    <x v="0"/>
    <x v="1"/>
    <n v="60379"/>
    <n v="895"/>
    <x v="649"/>
    <n v="838"/>
    <n v="3441603"/>
    <x v="1"/>
    <n v="320234"/>
    <n v="259855"/>
  </r>
  <r>
    <x v="72"/>
    <x v="0"/>
    <x v="2"/>
    <n v="31738"/>
    <n v="510"/>
    <x v="650"/>
    <n v="432"/>
    <n v="2475564"/>
    <x v="0"/>
    <n v="473264"/>
    <n v="441526"/>
  </r>
  <r>
    <x v="72"/>
    <x v="1"/>
    <x v="0"/>
    <n v="28767"/>
    <n v="668"/>
    <x v="651"/>
    <n v="631"/>
    <n v="1064379"/>
    <x v="0"/>
    <n v="408559"/>
    <n v="379792"/>
  </r>
  <r>
    <x v="72"/>
    <x v="1"/>
    <x v="1"/>
    <n v="37438"/>
    <n v="881"/>
    <x v="652"/>
    <n v="803"/>
    <n v="2920164"/>
    <x v="0"/>
    <n v="414892"/>
    <n v="377454"/>
  </r>
  <r>
    <x v="72"/>
    <x v="1"/>
    <x v="2"/>
    <n v="27069"/>
    <n v="587"/>
    <x v="653"/>
    <n v="555"/>
    <n v="866208"/>
    <x v="1"/>
    <n v="320906"/>
    <n v="293837"/>
  </r>
  <r>
    <x v="72"/>
    <x v="2"/>
    <x v="0"/>
    <n v="27597"/>
    <n v="663"/>
    <x v="654"/>
    <n v="607"/>
    <n v="1545432"/>
    <x v="0"/>
    <n v="408434"/>
    <n v="380837"/>
  </r>
  <r>
    <x v="72"/>
    <x v="2"/>
    <x v="1"/>
    <n v="38693"/>
    <n v="808"/>
    <x v="655"/>
    <n v="764"/>
    <n v="1702492"/>
    <x v="0"/>
    <n v="450100"/>
    <n v="411407"/>
  </r>
  <r>
    <x v="72"/>
    <x v="2"/>
    <x v="2"/>
    <n v="73161"/>
    <n v="536"/>
    <x v="656"/>
    <n v="465"/>
    <n v="5194431"/>
    <x v="1"/>
    <n v="404923"/>
    <n v="331762"/>
  </r>
  <r>
    <x v="73"/>
    <x v="0"/>
    <x v="0"/>
    <n v="51778"/>
    <n v="686"/>
    <x v="657"/>
    <n v="651"/>
    <n v="1812230"/>
    <x v="0"/>
    <n v="361475"/>
    <n v="309697"/>
  </r>
  <r>
    <x v="73"/>
    <x v="0"/>
    <x v="1"/>
    <n v="26344"/>
    <n v="862"/>
    <x v="658"/>
    <n v="804"/>
    <n v="1527952"/>
    <x v="1"/>
    <n v="482682"/>
    <n v="456338"/>
  </r>
  <r>
    <x v="73"/>
    <x v="0"/>
    <x v="2"/>
    <n v="34973"/>
    <n v="516"/>
    <x v="659"/>
    <n v="442"/>
    <n v="2588002"/>
    <x v="0"/>
    <n v="367647"/>
    <n v="332674"/>
  </r>
  <r>
    <x v="73"/>
    <x v="1"/>
    <x v="0"/>
    <n v="62261"/>
    <n v="667"/>
    <x v="660"/>
    <n v="633"/>
    <n v="2116874"/>
    <x v="1"/>
    <n v="202352"/>
    <n v="140091"/>
  </r>
  <r>
    <x v="73"/>
    <x v="1"/>
    <x v="1"/>
    <n v="28556"/>
    <n v="835"/>
    <x v="661"/>
    <n v="783"/>
    <n v="1484912"/>
    <x v="1"/>
    <n v="250098"/>
    <n v="221542"/>
  </r>
  <r>
    <x v="73"/>
    <x v="1"/>
    <x v="2"/>
    <n v="29569"/>
    <n v="531"/>
    <x v="662"/>
    <n v="457"/>
    <n v="2188106"/>
    <x v="0"/>
    <n v="387954"/>
    <n v="358385"/>
  </r>
  <r>
    <x v="73"/>
    <x v="2"/>
    <x v="0"/>
    <n v="20340"/>
    <n v="645"/>
    <x v="663"/>
    <n v="572"/>
    <n v="1484820"/>
    <x v="0"/>
    <n v="422740"/>
    <n v="402400"/>
  </r>
  <r>
    <x v="73"/>
    <x v="2"/>
    <x v="1"/>
    <n v="20138"/>
    <n v="852"/>
    <x v="664"/>
    <n v="819"/>
    <n v="664554"/>
    <x v="1"/>
    <n v="299931"/>
    <n v="279793"/>
  </r>
  <r>
    <x v="73"/>
    <x v="2"/>
    <x v="2"/>
    <n v="45879"/>
    <n v="598"/>
    <x v="665"/>
    <n v="556"/>
    <n v="1926918"/>
    <x v="0"/>
    <n v="258478"/>
    <n v="212599"/>
  </r>
  <r>
    <x v="74"/>
    <x v="0"/>
    <x v="0"/>
    <n v="46762"/>
    <n v="699"/>
    <x v="666"/>
    <n v="653"/>
    <n v="2151052"/>
    <x v="0"/>
    <n v="482363"/>
    <n v="435601"/>
  </r>
  <r>
    <x v="74"/>
    <x v="0"/>
    <x v="1"/>
    <n v="66840"/>
    <n v="768"/>
    <x v="667"/>
    <n v="702"/>
    <n v="4411440"/>
    <x v="0"/>
    <n v="350023"/>
    <n v="283183"/>
  </r>
  <r>
    <x v="74"/>
    <x v="0"/>
    <x v="2"/>
    <n v="55428"/>
    <n v="535"/>
    <x v="668"/>
    <n v="487"/>
    <n v="2660544"/>
    <x v="0"/>
    <n v="406846"/>
    <n v="351418"/>
  </r>
  <r>
    <x v="74"/>
    <x v="1"/>
    <x v="0"/>
    <n v="21140"/>
    <n v="697"/>
    <x v="669"/>
    <n v="657"/>
    <n v="845600"/>
    <x v="1"/>
    <n v="488565"/>
    <n v="467425"/>
  </r>
  <r>
    <x v="74"/>
    <x v="1"/>
    <x v="1"/>
    <n v="23630"/>
    <n v="889"/>
    <x v="670"/>
    <n v="839"/>
    <n v="1181500"/>
    <x v="1"/>
    <n v="244789"/>
    <n v="221159"/>
  </r>
  <r>
    <x v="74"/>
    <x v="1"/>
    <x v="2"/>
    <n v="46086"/>
    <n v="591"/>
    <x v="671"/>
    <n v="557"/>
    <n v="1566924"/>
    <x v="0"/>
    <n v="291088"/>
    <n v="245002"/>
  </r>
  <r>
    <x v="74"/>
    <x v="2"/>
    <x v="0"/>
    <n v="66099"/>
    <n v="640"/>
    <x v="672"/>
    <n v="565"/>
    <n v="4957425"/>
    <x v="0"/>
    <n v="360761"/>
    <n v="294662"/>
  </r>
  <r>
    <x v="74"/>
    <x v="2"/>
    <x v="1"/>
    <n v="33893"/>
    <n v="766"/>
    <x v="673"/>
    <n v="718"/>
    <n v="1626864"/>
    <x v="0"/>
    <n v="330351"/>
    <n v="296458"/>
  </r>
  <r>
    <x v="74"/>
    <x v="2"/>
    <x v="2"/>
    <n v="58635"/>
    <n v="551"/>
    <x v="674"/>
    <n v="490"/>
    <n v="3576735"/>
    <x v="1"/>
    <n v="272805"/>
    <n v="214170"/>
  </r>
  <r>
    <x v="75"/>
    <x v="0"/>
    <x v="0"/>
    <n v="48064"/>
    <n v="661"/>
    <x v="675"/>
    <n v="608"/>
    <n v="2547392"/>
    <x v="1"/>
    <n v="464598"/>
    <n v="416534"/>
  </r>
  <r>
    <x v="75"/>
    <x v="0"/>
    <x v="1"/>
    <n v="71098"/>
    <n v="831"/>
    <x v="676"/>
    <n v="774"/>
    <n v="4052586"/>
    <x v="1"/>
    <n v="218354"/>
    <n v="147256"/>
  </r>
  <r>
    <x v="75"/>
    <x v="0"/>
    <x v="2"/>
    <n v="26142"/>
    <n v="503"/>
    <x v="677"/>
    <n v="467"/>
    <n v="941112"/>
    <x v="0"/>
    <n v="384482"/>
    <n v="358340"/>
  </r>
  <r>
    <x v="75"/>
    <x v="1"/>
    <x v="0"/>
    <n v="68456"/>
    <n v="671"/>
    <x v="678"/>
    <n v="597"/>
    <n v="5065744"/>
    <x v="1"/>
    <n v="470160"/>
    <n v="401704"/>
  </r>
  <r>
    <x v="75"/>
    <x v="1"/>
    <x v="1"/>
    <n v="82320"/>
    <n v="845"/>
    <x v="679"/>
    <n v="808"/>
    <n v="3045840"/>
    <x v="0"/>
    <n v="240510"/>
    <n v="158190"/>
  </r>
  <r>
    <x v="75"/>
    <x v="1"/>
    <x v="2"/>
    <n v="41826"/>
    <n v="558"/>
    <x v="680"/>
    <n v="524"/>
    <n v="1422084"/>
    <x v="1"/>
    <n v="442700"/>
    <n v="400874"/>
  </r>
  <r>
    <x v="75"/>
    <x v="2"/>
    <x v="0"/>
    <n v="44045"/>
    <n v="660"/>
    <x v="681"/>
    <n v="600"/>
    <n v="2642700"/>
    <x v="0"/>
    <n v="290102"/>
    <n v="246057"/>
  </r>
  <r>
    <x v="75"/>
    <x v="2"/>
    <x v="1"/>
    <n v="47103"/>
    <n v="771"/>
    <x v="682"/>
    <n v="713"/>
    <n v="2731974"/>
    <x v="1"/>
    <n v="336917"/>
    <n v="289814"/>
  </r>
  <r>
    <x v="75"/>
    <x v="2"/>
    <x v="2"/>
    <n v="56674"/>
    <n v="553"/>
    <x v="683"/>
    <n v="514"/>
    <n v="2210286"/>
    <x v="0"/>
    <n v="353385"/>
    <n v="296711"/>
  </r>
  <r>
    <x v="76"/>
    <x v="0"/>
    <x v="0"/>
    <n v="20276"/>
    <n v="679"/>
    <x v="684"/>
    <n v="638"/>
    <n v="831316"/>
    <x v="0"/>
    <n v="343016"/>
    <n v="322740"/>
  </r>
  <r>
    <x v="76"/>
    <x v="0"/>
    <x v="1"/>
    <n v="69847"/>
    <n v="779"/>
    <x v="685"/>
    <n v="720"/>
    <n v="4120973"/>
    <x v="1"/>
    <n v="489954"/>
    <n v="420107"/>
  </r>
  <r>
    <x v="76"/>
    <x v="0"/>
    <x v="2"/>
    <n v="30503"/>
    <n v="525"/>
    <x v="686"/>
    <n v="447"/>
    <n v="2379234"/>
    <x v="0"/>
    <n v="473734"/>
    <n v="443231"/>
  </r>
  <r>
    <x v="76"/>
    <x v="1"/>
    <x v="0"/>
    <n v="30886"/>
    <n v="666"/>
    <x v="687"/>
    <n v="636"/>
    <n v="926580"/>
    <x v="1"/>
    <n v="363864"/>
    <n v="332978"/>
  </r>
  <r>
    <x v="76"/>
    <x v="1"/>
    <x v="1"/>
    <n v="62727"/>
    <n v="885"/>
    <x v="688"/>
    <n v="851"/>
    <n v="2132718"/>
    <x v="0"/>
    <n v="316923"/>
    <n v="254196"/>
  </r>
  <r>
    <x v="76"/>
    <x v="1"/>
    <x v="2"/>
    <n v="61160"/>
    <n v="500"/>
    <x v="689"/>
    <n v="435"/>
    <n v="3975400"/>
    <x v="0"/>
    <n v="346110"/>
    <n v="284950"/>
  </r>
  <r>
    <x v="76"/>
    <x v="2"/>
    <x v="0"/>
    <n v="41281"/>
    <n v="645"/>
    <x v="690"/>
    <n v="602"/>
    <n v="1775083"/>
    <x v="0"/>
    <n v="322115"/>
    <n v="280834"/>
  </r>
  <r>
    <x v="76"/>
    <x v="2"/>
    <x v="1"/>
    <n v="21381"/>
    <n v="824"/>
    <x v="691"/>
    <n v="760"/>
    <n v="1368384"/>
    <x v="1"/>
    <n v="449415"/>
    <n v="428034"/>
  </r>
  <r>
    <x v="76"/>
    <x v="2"/>
    <x v="2"/>
    <n v="61869"/>
    <n v="559"/>
    <x v="692"/>
    <n v="517"/>
    <n v="2598498"/>
    <x v="0"/>
    <n v="441324"/>
    <n v="379455"/>
  </r>
  <r>
    <x v="77"/>
    <x v="0"/>
    <x v="0"/>
    <n v="87628"/>
    <n v="660"/>
    <x v="693"/>
    <n v="612"/>
    <n v="4206144"/>
    <x v="0"/>
    <n v="405157"/>
    <n v="317529"/>
  </r>
  <r>
    <x v="77"/>
    <x v="0"/>
    <x v="1"/>
    <n v="79766"/>
    <n v="873"/>
    <x v="694"/>
    <n v="828"/>
    <n v="3589470"/>
    <x v="0"/>
    <n v="436731"/>
    <n v="356965"/>
  </r>
  <r>
    <x v="77"/>
    <x v="0"/>
    <x v="2"/>
    <n v="66092"/>
    <n v="555"/>
    <x v="695"/>
    <n v="479"/>
    <n v="5022992"/>
    <x v="0"/>
    <n v="427230"/>
    <n v="361138"/>
  </r>
  <r>
    <x v="77"/>
    <x v="1"/>
    <x v="0"/>
    <n v="88487"/>
    <n v="686"/>
    <x v="696"/>
    <n v="643"/>
    <n v="3804941"/>
    <x v="1"/>
    <n v="435062"/>
    <n v="346575"/>
  </r>
  <r>
    <x v="77"/>
    <x v="1"/>
    <x v="1"/>
    <n v="43782"/>
    <n v="802"/>
    <x v="697"/>
    <n v="734"/>
    <n v="2977176"/>
    <x v="1"/>
    <n v="329936"/>
    <n v="286154"/>
  </r>
  <r>
    <x v="77"/>
    <x v="1"/>
    <x v="2"/>
    <n v="42173"/>
    <n v="552"/>
    <x v="698"/>
    <n v="510"/>
    <n v="1771266"/>
    <x v="1"/>
    <n v="322258"/>
    <n v="280085"/>
  </r>
  <r>
    <x v="77"/>
    <x v="2"/>
    <x v="0"/>
    <n v="81202"/>
    <n v="656"/>
    <x v="699"/>
    <n v="602"/>
    <n v="4384908"/>
    <x v="1"/>
    <n v="478710"/>
    <n v="397508"/>
  </r>
  <r>
    <x v="77"/>
    <x v="2"/>
    <x v="1"/>
    <n v="58333"/>
    <n v="823"/>
    <x v="700"/>
    <n v="784"/>
    <n v="2274987"/>
    <x v="0"/>
    <n v="289571"/>
    <n v="231238"/>
  </r>
  <r>
    <x v="77"/>
    <x v="2"/>
    <x v="2"/>
    <n v="21589"/>
    <n v="551"/>
    <x v="701"/>
    <n v="502"/>
    <n v="1057861"/>
    <x v="0"/>
    <n v="200159"/>
    <n v="178570"/>
  </r>
  <r>
    <x v="78"/>
    <x v="0"/>
    <x v="0"/>
    <n v="51921"/>
    <n v="627"/>
    <x v="702"/>
    <n v="552"/>
    <n v="3894075"/>
    <x v="1"/>
    <n v="307507"/>
    <n v="255586"/>
  </r>
  <r>
    <x v="78"/>
    <x v="0"/>
    <x v="1"/>
    <n v="34743"/>
    <n v="828"/>
    <x v="703"/>
    <n v="777"/>
    <n v="1771893"/>
    <x v="1"/>
    <n v="442717"/>
    <n v="407974"/>
  </r>
  <r>
    <x v="78"/>
    <x v="0"/>
    <x v="2"/>
    <n v="76378"/>
    <n v="586"/>
    <x v="704"/>
    <n v="549"/>
    <n v="2825986"/>
    <x v="0"/>
    <n v="402193"/>
    <n v="325815"/>
  </r>
  <r>
    <x v="78"/>
    <x v="1"/>
    <x v="0"/>
    <n v="32237"/>
    <n v="633"/>
    <x v="705"/>
    <n v="586"/>
    <n v="1515139"/>
    <x v="0"/>
    <n v="404535"/>
    <n v="372298"/>
  </r>
  <r>
    <x v="78"/>
    <x v="1"/>
    <x v="1"/>
    <n v="68766"/>
    <n v="824"/>
    <x v="706"/>
    <n v="754"/>
    <n v="4813620"/>
    <x v="1"/>
    <n v="254238"/>
    <n v="185472"/>
  </r>
  <r>
    <x v="78"/>
    <x v="1"/>
    <x v="2"/>
    <n v="51897"/>
    <n v="517"/>
    <x v="707"/>
    <n v="456"/>
    <n v="3165717"/>
    <x v="1"/>
    <n v="489061"/>
    <n v="437164"/>
  </r>
  <r>
    <x v="78"/>
    <x v="2"/>
    <x v="0"/>
    <n v="47990"/>
    <n v="687"/>
    <x v="708"/>
    <n v="608"/>
    <n v="3791210"/>
    <x v="1"/>
    <n v="410695"/>
    <n v="362705"/>
  </r>
  <r>
    <x v="78"/>
    <x v="2"/>
    <x v="1"/>
    <n v="55205"/>
    <n v="818"/>
    <x v="709"/>
    <n v="745"/>
    <n v="4029965"/>
    <x v="0"/>
    <n v="454840"/>
    <n v="399635"/>
  </r>
  <r>
    <x v="78"/>
    <x v="2"/>
    <x v="2"/>
    <n v="61627"/>
    <n v="510"/>
    <x v="710"/>
    <n v="480"/>
    <n v="1848810"/>
    <x v="1"/>
    <n v="402346"/>
    <n v="340719"/>
  </r>
  <r>
    <x v="79"/>
    <x v="0"/>
    <x v="0"/>
    <n v="73384"/>
    <n v="626"/>
    <x v="711"/>
    <n v="563"/>
    <n v="4623192"/>
    <x v="0"/>
    <n v="336643"/>
    <n v="263259"/>
  </r>
  <r>
    <x v="79"/>
    <x v="0"/>
    <x v="1"/>
    <n v="36209"/>
    <n v="892"/>
    <x v="712"/>
    <n v="850"/>
    <n v="1520778"/>
    <x v="1"/>
    <n v="291218"/>
    <n v="255009"/>
  </r>
  <r>
    <x v="79"/>
    <x v="0"/>
    <x v="2"/>
    <n v="68695"/>
    <n v="575"/>
    <x v="713"/>
    <n v="509"/>
    <n v="4533870"/>
    <x v="0"/>
    <n v="440016"/>
    <n v="371321"/>
  </r>
  <r>
    <x v="79"/>
    <x v="1"/>
    <x v="0"/>
    <n v="59129"/>
    <n v="628"/>
    <x v="714"/>
    <n v="566"/>
    <n v="3665998"/>
    <x v="1"/>
    <n v="292122"/>
    <n v="232993"/>
  </r>
  <r>
    <x v="79"/>
    <x v="1"/>
    <x v="1"/>
    <n v="43478"/>
    <n v="887"/>
    <x v="715"/>
    <n v="811"/>
    <n v="3304328"/>
    <x v="1"/>
    <n v="343252"/>
    <n v="299774"/>
  </r>
  <r>
    <x v="79"/>
    <x v="1"/>
    <x v="2"/>
    <n v="35372"/>
    <n v="532"/>
    <x v="716"/>
    <n v="479"/>
    <n v="1874716"/>
    <x v="1"/>
    <n v="421035"/>
    <n v="385663"/>
  </r>
  <r>
    <x v="79"/>
    <x v="2"/>
    <x v="0"/>
    <n v="74040"/>
    <n v="693"/>
    <x v="717"/>
    <n v="655"/>
    <n v="2813520"/>
    <x v="0"/>
    <n v="278356"/>
    <n v="204316"/>
  </r>
  <r>
    <x v="79"/>
    <x v="2"/>
    <x v="1"/>
    <n v="25842"/>
    <n v="889"/>
    <x v="718"/>
    <n v="823"/>
    <n v="1705572"/>
    <x v="0"/>
    <n v="479652"/>
    <n v="453810"/>
  </r>
  <r>
    <x v="79"/>
    <x v="2"/>
    <x v="2"/>
    <n v="74575"/>
    <n v="527"/>
    <x v="719"/>
    <n v="457"/>
    <n v="5220250"/>
    <x v="1"/>
    <n v="266914"/>
    <n v="192339"/>
  </r>
  <r>
    <x v="80"/>
    <x v="0"/>
    <x v="0"/>
    <n v="87055"/>
    <n v="617"/>
    <x v="720"/>
    <n v="574"/>
    <n v="3743365"/>
    <x v="0"/>
    <n v="323106"/>
    <n v="236051"/>
  </r>
  <r>
    <x v="80"/>
    <x v="0"/>
    <x v="1"/>
    <n v="74120"/>
    <n v="873"/>
    <x v="721"/>
    <n v="837"/>
    <n v="2668320"/>
    <x v="1"/>
    <n v="202257"/>
    <n v="128137"/>
  </r>
  <r>
    <x v="80"/>
    <x v="0"/>
    <x v="2"/>
    <n v="44972"/>
    <n v="599"/>
    <x v="722"/>
    <n v="539"/>
    <n v="2698320"/>
    <x v="0"/>
    <n v="411841"/>
    <n v="366869"/>
  </r>
  <r>
    <x v="80"/>
    <x v="1"/>
    <x v="0"/>
    <n v="49320"/>
    <n v="672"/>
    <x v="723"/>
    <n v="605"/>
    <n v="3304440"/>
    <x v="0"/>
    <n v="318581"/>
    <n v="269261"/>
  </r>
  <r>
    <x v="80"/>
    <x v="1"/>
    <x v="1"/>
    <n v="54773"/>
    <n v="849"/>
    <x v="724"/>
    <n v="775"/>
    <n v="4053202"/>
    <x v="0"/>
    <n v="414764"/>
    <n v="359991"/>
  </r>
  <r>
    <x v="80"/>
    <x v="1"/>
    <x v="2"/>
    <n v="38135"/>
    <n v="507"/>
    <x v="725"/>
    <n v="471"/>
    <n v="1372860"/>
    <x v="0"/>
    <n v="354626"/>
    <n v="316491"/>
  </r>
  <r>
    <x v="80"/>
    <x v="2"/>
    <x v="0"/>
    <n v="75621"/>
    <n v="643"/>
    <x v="726"/>
    <n v="593"/>
    <n v="3781050"/>
    <x v="0"/>
    <n v="479067"/>
    <n v="403446"/>
  </r>
  <r>
    <x v="80"/>
    <x v="2"/>
    <x v="1"/>
    <n v="82261"/>
    <n v="814"/>
    <x v="727"/>
    <n v="749"/>
    <n v="5346965"/>
    <x v="0"/>
    <n v="260948"/>
    <n v="178687"/>
  </r>
  <r>
    <x v="80"/>
    <x v="2"/>
    <x v="2"/>
    <n v="53002"/>
    <n v="598"/>
    <x v="728"/>
    <n v="556"/>
    <n v="2226084"/>
    <x v="0"/>
    <n v="488816"/>
    <n v="435814"/>
  </r>
  <r>
    <x v="81"/>
    <x v="0"/>
    <x v="0"/>
    <n v="30293"/>
    <n v="609"/>
    <x v="729"/>
    <n v="536"/>
    <n v="2211389"/>
    <x v="1"/>
    <n v="257134"/>
    <n v="226841"/>
  </r>
  <r>
    <x v="81"/>
    <x v="0"/>
    <x v="1"/>
    <n v="81997"/>
    <n v="762"/>
    <x v="730"/>
    <n v="696"/>
    <n v="5411802"/>
    <x v="0"/>
    <n v="448933"/>
    <n v="366936"/>
  </r>
  <r>
    <x v="81"/>
    <x v="0"/>
    <x v="2"/>
    <n v="56609"/>
    <n v="585"/>
    <x v="731"/>
    <n v="539"/>
    <n v="2604014"/>
    <x v="1"/>
    <n v="494025"/>
    <n v="437416"/>
  </r>
  <r>
    <x v="81"/>
    <x v="1"/>
    <x v="0"/>
    <n v="44472"/>
    <n v="602"/>
    <x v="732"/>
    <n v="526"/>
    <n v="3379872"/>
    <x v="1"/>
    <n v="382885"/>
    <n v="338413"/>
  </r>
  <r>
    <x v="81"/>
    <x v="1"/>
    <x v="1"/>
    <n v="56021"/>
    <n v="865"/>
    <x v="733"/>
    <n v="812"/>
    <n v="2969113"/>
    <x v="1"/>
    <n v="212828"/>
    <n v="156807"/>
  </r>
  <r>
    <x v="81"/>
    <x v="1"/>
    <x v="2"/>
    <n v="21401"/>
    <n v="559"/>
    <x v="734"/>
    <n v="504"/>
    <n v="1177055"/>
    <x v="1"/>
    <n v="423461"/>
    <n v="402060"/>
  </r>
  <r>
    <x v="81"/>
    <x v="2"/>
    <x v="0"/>
    <n v="40307"/>
    <n v="627"/>
    <x v="735"/>
    <n v="582"/>
    <n v="1813815"/>
    <x v="0"/>
    <n v="439719"/>
    <n v="399412"/>
  </r>
  <r>
    <x v="81"/>
    <x v="2"/>
    <x v="1"/>
    <n v="22745"/>
    <n v="776"/>
    <x v="736"/>
    <n v="705"/>
    <n v="1614895"/>
    <x v="1"/>
    <n v="271354"/>
    <n v="248609"/>
  </r>
  <r>
    <x v="81"/>
    <x v="2"/>
    <x v="2"/>
    <n v="50116"/>
    <n v="505"/>
    <x v="737"/>
    <n v="469"/>
    <n v="1804176"/>
    <x v="1"/>
    <n v="492575"/>
    <n v="442459"/>
  </r>
  <r>
    <x v="82"/>
    <x v="0"/>
    <x v="0"/>
    <n v="49336"/>
    <n v="632"/>
    <x v="738"/>
    <n v="596"/>
    <n v="1776096"/>
    <x v="0"/>
    <n v="261240"/>
    <n v="211904"/>
  </r>
  <r>
    <x v="82"/>
    <x v="0"/>
    <x v="1"/>
    <n v="26155"/>
    <n v="765"/>
    <x v="739"/>
    <n v="720"/>
    <n v="1176975"/>
    <x v="0"/>
    <n v="386740"/>
    <n v="360585"/>
  </r>
  <r>
    <x v="82"/>
    <x v="0"/>
    <x v="2"/>
    <n v="70124"/>
    <n v="506"/>
    <x v="740"/>
    <n v="441"/>
    <n v="4558060"/>
    <x v="1"/>
    <n v="264110"/>
    <n v="193986"/>
  </r>
  <r>
    <x v="82"/>
    <x v="1"/>
    <x v="0"/>
    <n v="40936"/>
    <n v="631"/>
    <x v="741"/>
    <n v="591"/>
    <n v="1637440"/>
    <x v="1"/>
    <n v="419911"/>
    <n v="378975"/>
  </r>
  <r>
    <x v="82"/>
    <x v="1"/>
    <x v="1"/>
    <n v="47606"/>
    <n v="794"/>
    <x v="742"/>
    <n v="743"/>
    <n v="2427906"/>
    <x v="0"/>
    <n v="454595"/>
    <n v="406989"/>
  </r>
  <r>
    <x v="82"/>
    <x v="1"/>
    <x v="2"/>
    <n v="22204"/>
    <n v="597"/>
    <x v="743"/>
    <n v="534"/>
    <n v="1398852"/>
    <x v="1"/>
    <n v="493275"/>
    <n v="471071"/>
  </r>
  <r>
    <x v="82"/>
    <x v="2"/>
    <x v="0"/>
    <n v="53870"/>
    <n v="686"/>
    <x v="744"/>
    <n v="613"/>
    <n v="3932510"/>
    <x v="0"/>
    <n v="438083"/>
    <n v="384213"/>
  </r>
  <r>
    <x v="82"/>
    <x v="2"/>
    <x v="1"/>
    <n v="41607"/>
    <n v="886"/>
    <x v="745"/>
    <n v="852"/>
    <n v="1414638"/>
    <x v="1"/>
    <n v="409329"/>
    <n v="367722"/>
  </r>
  <r>
    <x v="82"/>
    <x v="2"/>
    <x v="2"/>
    <n v="81215"/>
    <n v="527"/>
    <x v="746"/>
    <n v="476"/>
    <n v="4141965"/>
    <x v="1"/>
    <n v="308048"/>
    <n v="226833"/>
  </r>
  <r>
    <x v="83"/>
    <x v="0"/>
    <x v="0"/>
    <n v="66169"/>
    <n v="670"/>
    <x v="747"/>
    <n v="599"/>
    <n v="4697999"/>
    <x v="0"/>
    <n v="313688"/>
    <n v="247519"/>
  </r>
  <r>
    <x v="83"/>
    <x v="0"/>
    <x v="1"/>
    <n v="75751"/>
    <n v="853"/>
    <x v="748"/>
    <n v="820"/>
    <n v="2499783"/>
    <x v="0"/>
    <n v="469150"/>
    <n v="393399"/>
  </r>
  <r>
    <x v="83"/>
    <x v="0"/>
    <x v="2"/>
    <n v="85344"/>
    <n v="548"/>
    <x v="749"/>
    <n v="472"/>
    <n v="6486144"/>
    <x v="0"/>
    <n v="223091"/>
    <n v="137747"/>
  </r>
  <r>
    <x v="83"/>
    <x v="1"/>
    <x v="0"/>
    <n v="52983"/>
    <n v="653"/>
    <x v="750"/>
    <n v="577"/>
    <n v="4026708"/>
    <x v="0"/>
    <n v="450541"/>
    <n v="397558"/>
  </r>
  <r>
    <x v="83"/>
    <x v="1"/>
    <x v="1"/>
    <n v="31033"/>
    <n v="863"/>
    <x v="751"/>
    <n v="829"/>
    <n v="1055122"/>
    <x v="1"/>
    <n v="468083"/>
    <n v="437050"/>
  </r>
  <r>
    <x v="83"/>
    <x v="1"/>
    <x v="2"/>
    <n v="67562"/>
    <n v="553"/>
    <x v="752"/>
    <n v="491"/>
    <n v="4188844"/>
    <x v="0"/>
    <n v="407793"/>
    <n v="340231"/>
  </r>
  <r>
    <x v="83"/>
    <x v="2"/>
    <x v="0"/>
    <n v="64769"/>
    <n v="614"/>
    <x v="753"/>
    <n v="553"/>
    <n v="3950909"/>
    <x v="0"/>
    <n v="435796"/>
    <n v="371027"/>
  </r>
  <r>
    <x v="83"/>
    <x v="2"/>
    <x v="1"/>
    <n v="47076"/>
    <n v="883"/>
    <x v="754"/>
    <n v="816"/>
    <n v="3154092"/>
    <x v="0"/>
    <n v="493577"/>
    <n v="446501"/>
  </r>
  <r>
    <x v="83"/>
    <x v="2"/>
    <x v="2"/>
    <n v="87468"/>
    <n v="594"/>
    <x v="755"/>
    <n v="535"/>
    <n v="5160612"/>
    <x v="0"/>
    <n v="243527"/>
    <n v="156059"/>
  </r>
  <r>
    <x v="84"/>
    <x v="0"/>
    <x v="0"/>
    <n v="20492"/>
    <n v="632"/>
    <x v="756"/>
    <n v="586"/>
    <n v="942632"/>
    <x v="0"/>
    <n v="423564"/>
    <n v="403072"/>
  </r>
  <r>
    <x v="84"/>
    <x v="0"/>
    <x v="1"/>
    <n v="74110"/>
    <n v="819"/>
    <x v="757"/>
    <n v="749"/>
    <n v="5187700"/>
    <x v="0"/>
    <n v="312911"/>
    <n v="238801"/>
  </r>
  <r>
    <x v="84"/>
    <x v="0"/>
    <x v="2"/>
    <n v="79234"/>
    <n v="547"/>
    <x v="758"/>
    <n v="492"/>
    <n v="4357870"/>
    <x v="1"/>
    <n v="205451"/>
    <n v="126217"/>
  </r>
  <r>
    <x v="84"/>
    <x v="1"/>
    <x v="0"/>
    <n v="61316"/>
    <n v="688"/>
    <x v="759"/>
    <n v="641"/>
    <n v="2881852"/>
    <x v="1"/>
    <n v="436562"/>
    <n v="375246"/>
  </r>
  <r>
    <x v="84"/>
    <x v="1"/>
    <x v="1"/>
    <n v="50873"/>
    <n v="883"/>
    <x v="760"/>
    <n v="850"/>
    <n v="1678809"/>
    <x v="1"/>
    <n v="397227"/>
    <n v="346354"/>
  </r>
  <r>
    <x v="84"/>
    <x v="1"/>
    <x v="2"/>
    <n v="45372"/>
    <n v="558"/>
    <x v="761"/>
    <n v="495"/>
    <n v="2858436"/>
    <x v="1"/>
    <n v="496208"/>
    <n v="450836"/>
  </r>
  <r>
    <x v="84"/>
    <x v="2"/>
    <x v="0"/>
    <n v="34122"/>
    <n v="679"/>
    <x v="762"/>
    <n v="648"/>
    <n v="1057782"/>
    <x v="1"/>
    <n v="250081"/>
    <n v="215959"/>
  </r>
  <r>
    <x v="84"/>
    <x v="2"/>
    <x v="1"/>
    <n v="28711"/>
    <n v="890"/>
    <x v="763"/>
    <n v="819"/>
    <n v="2038481"/>
    <x v="0"/>
    <n v="276253"/>
    <n v="247542"/>
  </r>
  <r>
    <x v="84"/>
    <x v="2"/>
    <x v="2"/>
    <n v="30211"/>
    <n v="593"/>
    <x v="764"/>
    <n v="563"/>
    <n v="906330"/>
    <x v="0"/>
    <n v="293783"/>
    <n v="263572"/>
  </r>
  <r>
    <x v="85"/>
    <x v="0"/>
    <x v="0"/>
    <n v="75388"/>
    <n v="685"/>
    <x v="765"/>
    <n v="612"/>
    <n v="5503324"/>
    <x v="1"/>
    <n v="277960"/>
    <n v="202572"/>
  </r>
  <r>
    <x v="85"/>
    <x v="0"/>
    <x v="1"/>
    <n v="42601"/>
    <n v="785"/>
    <x v="766"/>
    <n v="719"/>
    <n v="2811666"/>
    <x v="0"/>
    <n v="339227"/>
    <n v="296626"/>
  </r>
  <r>
    <x v="85"/>
    <x v="0"/>
    <x v="2"/>
    <n v="56777"/>
    <n v="542"/>
    <x v="767"/>
    <n v="492"/>
    <n v="2838850"/>
    <x v="0"/>
    <n v="328727"/>
    <n v="271950"/>
  </r>
  <r>
    <x v="85"/>
    <x v="1"/>
    <x v="0"/>
    <n v="83227"/>
    <n v="665"/>
    <x v="768"/>
    <n v="628"/>
    <n v="3079399"/>
    <x v="1"/>
    <n v="405743"/>
    <n v="322516"/>
  </r>
  <r>
    <x v="85"/>
    <x v="1"/>
    <x v="1"/>
    <n v="47413"/>
    <n v="850"/>
    <x v="769"/>
    <n v="794"/>
    <n v="2655128"/>
    <x v="1"/>
    <n v="433820"/>
    <n v="386407"/>
  </r>
  <r>
    <x v="85"/>
    <x v="1"/>
    <x v="2"/>
    <n v="86732"/>
    <n v="509"/>
    <x v="770"/>
    <n v="444"/>
    <n v="5637580"/>
    <x v="0"/>
    <n v="485960"/>
    <n v="399228"/>
  </r>
  <r>
    <x v="85"/>
    <x v="2"/>
    <x v="0"/>
    <n v="60695"/>
    <n v="626"/>
    <x v="771"/>
    <n v="563"/>
    <n v="3823785"/>
    <x v="0"/>
    <n v="398784"/>
    <n v="338089"/>
  </r>
  <r>
    <x v="85"/>
    <x v="2"/>
    <x v="1"/>
    <n v="73574"/>
    <n v="816"/>
    <x v="772"/>
    <n v="767"/>
    <n v="3605126"/>
    <x v="1"/>
    <n v="300755"/>
    <n v="227181"/>
  </r>
  <r>
    <x v="85"/>
    <x v="2"/>
    <x v="2"/>
    <n v="23696"/>
    <n v="590"/>
    <x v="773"/>
    <n v="535"/>
    <n v="1303280"/>
    <x v="1"/>
    <n v="481293"/>
    <n v="457597"/>
  </r>
  <r>
    <x v="86"/>
    <x v="0"/>
    <x v="0"/>
    <n v="73521"/>
    <n v="644"/>
    <x v="774"/>
    <n v="586"/>
    <n v="4264218"/>
    <x v="0"/>
    <n v="448922"/>
    <n v="375401"/>
  </r>
  <r>
    <x v="86"/>
    <x v="0"/>
    <x v="1"/>
    <n v="83811"/>
    <n v="863"/>
    <x v="775"/>
    <n v="833"/>
    <n v="2514330"/>
    <x v="0"/>
    <n v="477561"/>
    <n v="393750"/>
  </r>
  <r>
    <x v="86"/>
    <x v="0"/>
    <x v="2"/>
    <n v="50099"/>
    <n v="586"/>
    <x v="776"/>
    <n v="547"/>
    <n v="1953861"/>
    <x v="1"/>
    <n v="318474"/>
    <n v="268375"/>
  </r>
  <r>
    <x v="86"/>
    <x v="1"/>
    <x v="0"/>
    <n v="54681"/>
    <n v="664"/>
    <x v="777"/>
    <n v="618"/>
    <n v="2515326"/>
    <x v="1"/>
    <n v="234540"/>
    <n v="179859"/>
  </r>
  <r>
    <x v="86"/>
    <x v="1"/>
    <x v="1"/>
    <n v="83043"/>
    <n v="888"/>
    <x v="778"/>
    <n v="838"/>
    <n v="4152150"/>
    <x v="0"/>
    <n v="391051"/>
    <n v="308008"/>
  </r>
  <r>
    <x v="86"/>
    <x v="1"/>
    <x v="2"/>
    <n v="86668"/>
    <n v="559"/>
    <x v="779"/>
    <n v="523"/>
    <n v="3120048"/>
    <x v="1"/>
    <n v="420462"/>
    <n v="333794"/>
  </r>
  <r>
    <x v="86"/>
    <x v="2"/>
    <x v="0"/>
    <n v="83814"/>
    <n v="625"/>
    <x v="780"/>
    <n v="556"/>
    <n v="5783166"/>
    <x v="1"/>
    <n v="469956"/>
    <n v="386142"/>
  </r>
  <r>
    <x v="86"/>
    <x v="2"/>
    <x v="1"/>
    <n v="22179"/>
    <n v="772"/>
    <x v="781"/>
    <n v="701"/>
    <n v="1574709"/>
    <x v="0"/>
    <n v="482844"/>
    <n v="460665"/>
  </r>
  <r>
    <x v="86"/>
    <x v="2"/>
    <x v="2"/>
    <n v="59464"/>
    <n v="518"/>
    <x v="782"/>
    <n v="441"/>
    <n v="4578728"/>
    <x v="0"/>
    <n v="413606"/>
    <n v="354142"/>
  </r>
  <r>
    <x v="87"/>
    <x v="0"/>
    <x v="0"/>
    <n v="80315"/>
    <n v="690"/>
    <x v="783"/>
    <n v="657"/>
    <n v="2650395"/>
    <x v="1"/>
    <n v="378048"/>
    <n v="297733"/>
  </r>
  <r>
    <x v="87"/>
    <x v="0"/>
    <x v="1"/>
    <n v="65095"/>
    <n v="773"/>
    <x v="784"/>
    <n v="720"/>
    <n v="3450035"/>
    <x v="1"/>
    <n v="347745"/>
    <n v="282650"/>
  </r>
  <r>
    <x v="87"/>
    <x v="0"/>
    <x v="2"/>
    <n v="47056"/>
    <n v="586"/>
    <x v="785"/>
    <n v="534"/>
    <n v="2446912"/>
    <x v="1"/>
    <n v="454205"/>
    <n v="407149"/>
  </r>
  <r>
    <x v="87"/>
    <x v="1"/>
    <x v="0"/>
    <n v="77149"/>
    <n v="640"/>
    <x v="786"/>
    <n v="605"/>
    <n v="2700215"/>
    <x v="1"/>
    <n v="496292"/>
    <n v="419143"/>
  </r>
  <r>
    <x v="87"/>
    <x v="1"/>
    <x v="1"/>
    <n v="73459"/>
    <n v="752"/>
    <x v="787"/>
    <n v="701"/>
    <n v="3746409"/>
    <x v="0"/>
    <n v="408859"/>
    <n v="335400"/>
  </r>
  <r>
    <x v="87"/>
    <x v="1"/>
    <x v="2"/>
    <n v="40466"/>
    <n v="535"/>
    <x v="788"/>
    <n v="459"/>
    <n v="3075416"/>
    <x v="1"/>
    <n v="416232"/>
    <n v="375766"/>
  </r>
  <r>
    <x v="87"/>
    <x v="2"/>
    <x v="0"/>
    <n v="42412"/>
    <n v="686"/>
    <x v="789"/>
    <n v="607"/>
    <n v="3350548"/>
    <x v="0"/>
    <n v="392029"/>
    <n v="349617"/>
  </r>
  <r>
    <x v="87"/>
    <x v="2"/>
    <x v="1"/>
    <n v="33156"/>
    <n v="774"/>
    <x v="790"/>
    <n v="697"/>
    <n v="2553012"/>
    <x v="1"/>
    <n v="230106"/>
    <n v="196950"/>
  </r>
  <r>
    <x v="87"/>
    <x v="2"/>
    <x v="2"/>
    <n v="36589"/>
    <n v="556"/>
    <x v="791"/>
    <n v="479"/>
    <n v="2817353"/>
    <x v="0"/>
    <n v="338286"/>
    <n v="301697"/>
  </r>
  <r>
    <x v="88"/>
    <x v="0"/>
    <x v="0"/>
    <n v="47127"/>
    <n v="621"/>
    <x v="792"/>
    <n v="571"/>
    <n v="2356350"/>
    <x v="0"/>
    <n v="464852"/>
    <n v="417725"/>
  </r>
  <r>
    <x v="88"/>
    <x v="0"/>
    <x v="1"/>
    <n v="35088"/>
    <n v="765"/>
    <x v="793"/>
    <n v="705"/>
    <n v="2105280"/>
    <x v="0"/>
    <n v="395497"/>
    <n v="360409"/>
  </r>
  <r>
    <x v="88"/>
    <x v="0"/>
    <x v="2"/>
    <n v="67135"/>
    <n v="558"/>
    <x v="794"/>
    <n v="495"/>
    <n v="4229505"/>
    <x v="1"/>
    <n v="278077"/>
    <n v="210942"/>
  </r>
  <r>
    <x v="88"/>
    <x v="1"/>
    <x v="0"/>
    <n v="72874"/>
    <n v="695"/>
    <x v="795"/>
    <n v="656"/>
    <n v="2842086"/>
    <x v="1"/>
    <n v="440341"/>
    <n v="367467"/>
  </r>
  <r>
    <x v="88"/>
    <x v="1"/>
    <x v="1"/>
    <n v="88368"/>
    <n v="817"/>
    <x v="796"/>
    <n v="740"/>
    <n v="6804336"/>
    <x v="1"/>
    <n v="419571"/>
    <n v="331203"/>
  </r>
  <r>
    <x v="88"/>
    <x v="1"/>
    <x v="2"/>
    <n v="52920"/>
    <n v="520"/>
    <x v="797"/>
    <n v="454"/>
    <n v="3492720"/>
    <x v="1"/>
    <n v="459904"/>
    <n v="406984"/>
  </r>
  <r>
    <x v="88"/>
    <x v="2"/>
    <x v="0"/>
    <n v="62712"/>
    <n v="650"/>
    <x v="798"/>
    <n v="585"/>
    <n v="4076280"/>
    <x v="1"/>
    <n v="233872"/>
    <n v="171160"/>
  </r>
  <r>
    <x v="88"/>
    <x v="2"/>
    <x v="1"/>
    <n v="40583"/>
    <n v="764"/>
    <x v="799"/>
    <n v="703"/>
    <n v="2475563"/>
    <x v="0"/>
    <n v="398522"/>
    <n v="357939"/>
  </r>
  <r>
    <x v="88"/>
    <x v="2"/>
    <x v="2"/>
    <n v="39456"/>
    <n v="522"/>
    <x v="800"/>
    <n v="454"/>
    <n v="2683008"/>
    <x v="0"/>
    <n v="233276"/>
    <n v="193820"/>
  </r>
  <r>
    <x v="89"/>
    <x v="0"/>
    <x v="0"/>
    <n v="39873"/>
    <n v="640"/>
    <x v="801"/>
    <n v="582"/>
    <n v="2312634"/>
    <x v="0"/>
    <n v="221644"/>
    <n v="181771"/>
  </r>
  <r>
    <x v="89"/>
    <x v="0"/>
    <x v="1"/>
    <n v="57125"/>
    <n v="833"/>
    <x v="802"/>
    <n v="801"/>
    <n v="1828000"/>
    <x v="0"/>
    <n v="225675"/>
    <n v="168550"/>
  </r>
  <r>
    <x v="89"/>
    <x v="0"/>
    <x v="2"/>
    <n v="20174"/>
    <n v="554"/>
    <x v="803"/>
    <n v="524"/>
    <n v="605220"/>
    <x v="0"/>
    <n v="305410"/>
    <n v="285236"/>
  </r>
  <r>
    <x v="89"/>
    <x v="1"/>
    <x v="0"/>
    <n v="64814"/>
    <n v="699"/>
    <x v="804"/>
    <n v="638"/>
    <n v="3953654"/>
    <x v="0"/>
    <n v="329887"/>
    <n v="265073"/>
  </r>
  <r>
    <x v="89"/>
    <x v="1"/>
    <x v="1"/>
    <n v="61328"/>
    <n v="832"/>
    <x v="805"/>
    <n v="760"/>
    <n v="4415616"/>
    <x v="1"/>
    <n v="234675"/>
    <n v="173347"/>
  </r>
  <r>
    <x v="89"/>
    <x v="1"/>
    <x v="2"/>
    <n v="38919"/>
    <n v="577"/>
    <x v="806"/>
    <n v="515"/>
    <n v="2412978"/>
    <x v="0"/>
    <n v="381517"/>
    <n v="342598"/>
  </r>
  <r>
    <x v="89"/>
    <x v="2"/>
    <x v="0"/>
    <n v="57564"/>
    <n v="603"/>
    <x v="807"/>
    <n v="550"/>
    <n v="3050892"/>
    <x v="1"/>
    <n v="359034"/>
    <n v="301470"/>
  </r>
  <r>
    <x v="89"/>
    <x v="2"/>
    <x v="1"/>
    <n v="76184"/>
    <n v="832"/>
    <x v="808"/>
    <n v="802"/>
    <n v="2285520"/>
    <x v="0"/>
    <n v="442188"/>
    <n v="366004"/>
  </r>
  <r>
    <x v="89"/>
    <x v="2"/>
    <x v="2"/>
    <n v="87391"/>
    <n v="561"/>
    <x v="809"/>
    <n v="497"/>
    <n v="5593024"/>
    <x v="0"/>
    <n v="497675"/>
    <n v="410284"/>
  </r>
  <r>
    <x v="90"/>
    <x v="0"/>
    <x v="0"/>
    <n v="24986"/>
    <n v="642"/>
    <x v="810"/>
    <n v="603"/>
    <n v="974454"/>
    <x v="1"/>
    <n v="400339"/>
    <n v="375353"/>
  </r>
  <r>
    <x v="90"/>
    <x v="0"/>
    <x v="1"/>
    <n v="36835"/>
    <n v="751"/>
    <x v="811"/>
    <n v="700"/>
    <n v="1878585"/>
    <x v="1"/>
    <n v="417400"/>
    <n v="380565"/>
  </r>
  <r>
    <x v="90"/>
    <x v="0"/>
    <x v="2"/>
    <n v="63526"/>
    <n v="577"/>
    <x v="812"/>
    <n v="545"/>
    <n v="2032832"/>
    <x v="1"/>
    <n v="486479"/>
    <n v="422953"/>
  </r>
  <r>
    <x v="90"/>
    <x v="1"/>
    <x v="0"/>
    <n v="31442"/>
    <n v="681"/>
    <x v="813"/>
    <n v="636"/>
    <n v="1414890"/>
    <x v="1"/>
    <n v="306464"/>
    <n v="275022"/>
  </r>
  <r>
    <x v="90"/>
    <x v="1"/>
    <x v="1"/>
    <n v="39581"/>
    <n v="802"/>
    <x v="814"/>
    <n v="762"/>
    <n v="1583240"/>
    <x v="1"/>
    <n v="292036"/>
    <n v="252455"/>
  </r>
  <r>
    <x v="90"/>
    <x v="1"/>
    <x v="2"/>
    <n v="36523"/>
    <n v="516"/>
    <x v="815"/>
    <n v="481"/>
    <n v="1278305"/>
    <x v="1"/>
    <n v="481696"/>
    <n v="445173"/>
  </r>
  <r>
    <x v="90"/>
    <x v="2"/>
    <x v="0"/>
    <n v="30808"/>
    <n v="627"/>
    <x v="816"/>
    <n v="584"/>
    <n v="1324744"/>
    <x v="0"/>
    <n v="354692"/>
    <n v="323884"/>
  </r>
  <r>
    <x v="90"/>
    <x v="2"/>
    <x v="1"/>
    <n v="20887"/>
    <n v="808"/>
    <x v="817"/>
    <n v="746"/>
    <n v="1294994"/>
    <x v="0"/>
    <n v="445809"/>
    <n v="424922"/>
  </r>
  <r>
    <x v="90"/>
    <x v="2"/>
    <x v="2"/>
    <n v="46049"/>
    <n v="593"/>
    <x v="818"/>
    <n v="517"/>
    <n v="3499724"/>
    <x v="0"/>
    <n v="246220"/>
    <n v="200171"/>
  </r>
  <r>
    <x v="91"/>
    <x v="0"/>
    <x v="0"/>
    <n v="23765"/>
    <n v="606"/>
    <x v="819"/>
    <n v="562"/>
    <n v="1045660"/>
    <x v="1"/>
    <n v="275277"/>
    <n v="251512"/>
  </r>
  <r>
    <x v="91"/>
    <x v="0"/>
    <x v="1"/>
    <n v="42931"/>
    <n v="778"/>
    <x v="820"/>
    <n v="725"/>
    <n v="2275343"/>
    <x v="1"/>
    <n v="251913"/>
    <n v="208982"/>
  </r>
  <r>
    <x v="91"/>
    <x v="0"/>
    <x v="2"/>
    <n v="45991"/>
    <n v="589"/>
    <x v="821"/>
    <n v="531"/>
    <n v="2667478"/>
    <x v="1"/>
    <n v="429577"/>
    <n v="383586"/>
  </r>
  <r>
    <x v="91"/>
    <x v="1"/>
    <x v="0"/>
    <n v="30561"/>
    <n v="605"/>
    <x v="822"/>
    <n v="571"/>
    <n v="1039074"/>
    <x v="1"/>
    <n v="356989"/>
    <n v="326428"/>
  </r>
  <r>
    <x v="91"/>
    <x v="1"/>
    <x v="1"/>
    <n v="21988"/>
    <n v="831"/>
    <x v="823"/>
    <n v="776"/>
    <n v="1209340"/>
    <x v="1"/>
    <n v="328467"/>
    <n v="306479"/>
  </r>
  <r>
    <x v="91"/>
    <x v="1"/>
    <x v="2"/>
    <n v="34256"/>
    <n v="590"/>
    <x v="824"/>
    <n v="512"/>
    <n v="2671968"/>
    <x v="1"/>
    <n v="326155"/>
    <n v="291899"/>
  </r>
  <r>
    <x v="91"/>
    <x v="2"/>
    <x v="0"/>
    <n v="79778"/>
    <n v="609"/>
    <x v="825"/>
    <n v="546"/>
    <n v="5026014"/>
    <x v="1"/>
    <n v="232088"/>
    <n v="152310"/>
  </r>
  <r>
    <x v="91"/>
    <x v="2"/>
    <x v="1"/>
    <n v="61167"/>
    <n v="751"/>
    <x v="826"/>
    <n v="698"/>
    <n v="3241851"/>
    <x v="0"/>
    <n v="276361"/>
    <n v="215194"/>
  </r>
  <r>
    <x v="91"/>
    <x v="2"/>
    <x v="2"/>
    <n v="24117"/>
    <n v="525"/>
    <x v="827"/>
    <n v="453"/>
    <n v="1736424"/>
    <x v="1"/>
    <n v="297718"/>
    <n v="2736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0" firstDataRow="1" firstDataCol="1"/>
  <pivotFields count="13">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0"/>
        <item x="2"/>
        <item x="1"/>
        <item t="default"/>
      </items>
    </pivotField>
    <pivotField axis="axisRow" showAll="0">
      <items count="4">
        <item x="1"/>
        <item x="2"/>
        <item x="0"/>
        <item t="default"/>
      </items>
    </pivotField>
    <pivotField showAll="0"/>
    <pivotField showAll="0"/>
    <pivotField dataField="1"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4">
    <i>
      <x/>
    </i>
    <i>
      <x v="1"/>
    </i>
    <i>
      <x v="2"/>
    </i>
    <i t="grand">
      <x/>
    </i>
  </rowItems>
  <colFields count="1">
    <field x="-2"/>
  </colFields>
  <colItems count="2">
    <i>
      <x/>
    </i>
    <i i="1">
      <x v="1"/>
    </i>
  </colItems>
  <dataFields count="2">
    <dataField name="Sum of Gross_Margin" fld="7" baseField="2" baseItem="0" numFmtId="164"/>
    <dataField name="Sum of Total_Revenue" fld="5" baseField="0" baseItem="0" numFmtId="164"/>
  </dataFields>
  <chartFormats count="4">
    <chartFormat chart="6"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C7" firstHeaderRow="0" firstDataRow="1" firstDataCol="1"/>
  <pivotFields count="13">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4">
        <item x="0"/>
        <item x="2"/>
        <item x="1"/>
        <item t="default"/>
      </items>
    </pivotField>
    <pivotField showAll="0">
      <items count="4">
        <item x="1"/>
        <item x="2"/>
        <item x="0"/>
        <item t="default"/>
      </items>
    </pivotField>
    <pivotField showAll="0"/>
    <pivotField showAll="0"/>
    <pivotField dataField="1" showAll="0">
      <items count="829">
        <item x="335"/>
        <item x="233"/>
        <item x="803"/>
        <item x="596"/>
        <item x="116"/>
        <item x="572"/>
        <item x="701"/>
        <item x="734"/>
        <item x="59"/>
        <item x="27"/>
        <item x="41"/>
        <item x="827"/>
        <item x="632"/>
        <item x="362"/>
        <item x="756"/>
        <item x="245"/>
        <item x="317"/>
        <item x="89"/>
        <item x="663"/>
        <item x="677"/>
        <item x="69"/>
        <item x="743"/>
        <item x="576"/>
        <item x="161"/>
        <item x="86"/>
        <item x="569"/>
        <item x="509"/>
        <item x="519"/>
        <item x="176"/>
        <item x="684"/>
        <item x="567"/>
        <item x="26"/>
        <item x="174"/>
        <item x="773"/>
        <item x="137"/>
        <item x="428"/>
        <item x="197"/>
        <item x="819"/>
        <item x="446"/>
        <item x="275"/>
        <item x="140"/>
        <item x="455"/>
        <item x="360"/>
        <item x="416"/>
        <item x="669"/>
        <item x="533"/>
        <item x="507"/>
        <item x="539"/>
        <item x="401"/>
        <item x="216"/>
        <item x="489"/>
        <item x="617"/>
        <item x="662"/>
        <item x="437"/>
        <item x="305"/>
        <item x="279"/>
        <item x="653"/>
        <item x="686"/>
        <item x="281"/>
        <item x="583"/>
        <item x="810"/>
        <item x="650"/>
        <item x="239"/>
        <item x="372"/>
        <item x="72"/>
        <item x="36"/>
        <item x="527"/>
        <item x="147"/>
        <item x="516"/>
        <item x="817"/>
        <item x="76"/>
        <item x="198"/>
        <item x="358"/>
        <item x="781"/>
        <item x="560"/>
        <item x="664"/>
        <item x="528"/>
        <item x="144"/>
        <item x="185"/>
        <item x="316"/>
        <item x="150"/>
        <item x="44"/>
        <item x="691"/>
        <item x="736"/>
        <item x="230"/>
        <item x="449"/>
        <item x="169"/>
        <item x="764"/>
        <item x="614"/>
        <item x="8"/>
        <item x="659"/>
        <item x="515"/>
        <item x="48"/>
        <item x="823"/>
        <item x="654"/>
        <item x="453"/>
        <item x="729"/>
        <item x="822"/>
        <item x="388"/>
        <item x="248"/>
        <item x="483"/>
        <item x="117"/>
        <item x="256"/>
        <item x="56"/>
        <item x="716"/>
        <item x="815"/>
        <item x="543"/>
        <item x="19"/>
        <item x="172"/>
        <item x="441"/>
        <item x="17"/>
        <item x="436"/>
        <item x="415"/>
        <item x="284"/>
        <item x="651"/>
        <item x="236"/>
        <item x="425"/>
        <item x="816"/>
        <item x="725"/>
        <item x="126"/>
        <item x="311"/>
        <item x="459"/>
        <item x="310"/>
        <item x="212"/>
        <item x="458"/>
        <item x="633"/>
        <item x="326"/>
        <item x="377"/>
        <item x="387"/>
        <item x="739"/>
        <item x="397"/>
        <item x="125"/>
        <item x="88"/>
        <item x="623"/>
        <item x="551"/>
        <item x="824"/>
        <item x="285"/>
        <item x="612"/>
        <item x="791"/>
        <item x="545"/>
        <item x="542"/>
        <item x="705"/>
        <item x="78"/>
        <item x="443"/>
        <item x="687"/>
        <item x="450"/>
        <item x="800"/>
        <item x="468"/>
        <item x="324"/>
        <item x="204"/>
        <item x="104"/>
        <item x="325"/>
        <item x="330"/>
        <item x="670"/>
        <item x="403"/>
        <item x="183"/>
        <item x="267"/>
        <item x="246"/>
        <item x="813"/>
        <item x="644"/>
        <item x="243"/>
        <item x="626"/>
        <item x="154"/>
        <item x="619"/>
        <item x="357"/>
        <item x="142"/>
        <item x="546"/>
        <item x="788"/>
        <item x="398"/>
        <item x="544"/>
        <item x="251"/>
        <item x="53"/>
        <item x="637"/>
        <item x="466"/>
        <item x="118"/>
        <item x="597"/>
        <item x="806"/>
        <item x="587"/>
        <item x="456"/>
        <item x="585"/>
        <item x="532"/>
        <item x="486"/>
        <item x="332"/>
        <item x="200"/>
        <item x="658"/>
        <item x="536"/>
        <item x="394"/>
        <item x="159"/>
        <item x="90"/>
        <item x="171"/>
        <item x="718"/>
        <item x="432"/>
        <item x="203"/>
        <item x="642"/>
        <item x="213"/>
        <item x="762"/>
        <item x="698"/>
        <item x="84"/>
        <item x="81"/>
        <item x="158"/>
        <item x="680"/>
        <item x="111"/>
        <item x="341"/>
        <item x="593"/>
        <item x="201"/>
        <item x="95"/>
        <item x="661"/>
        <item x="12"/>
        <item x="153"/>
        <item x="322"/>
        <item x="71"/>
        <item x="206"/>
        <item x="445"/>
        <item x="548"/>
        <item x="589"/>
        <item x="584"/>
        <item x="132"/>
        <item x="578"/>
        <item x="474"/>
        <item x="152"/>
        <item x="296"/>
        <item x="5"/>
        <item x="25"/>
        <item x="0"/>
        <item x="598"/>
        <item x="638"/>
        <item x="70"/>
        <item x="178"/>
        <item x="180"/>
        <item x="262"/>
        <item x="102"/>
        <item x="115"/>
        <item x="508"/>
        <item x="524"/>
        <item x="226"/>
        <item x="735"/>
        <item x="737"/>
        <item x="761"/>
        <item x="537"/>
        <item x="413"/>
        <item x="165"/>
        <item x="801"/>
        <item x="355"/>
        <item x="134"/>
        <item x="763"/>
        <item x="113"/>
        <item x="592"/>
        <item x="790"/>
        <item x="389"/>
        <item x="23"/>
        <item x="741"/>
        <item x="108"/>
        <item x="476"/>
        <item x="299"/>
        <item x="673"/>
        <item x="342"/>
        <item x="517"/>
        <item x="400"/>
        <item x="378"/>
        <item x="580"/>
        <item x="600"/>
        <item x="323"/>
        <item x="209"/>
        <item x="561"/>
        <item x="464"/>
        <item x="582"/>
        <item x="690"/>
        <item x="196"/>
        <item x="494"/>
        <item x="534"/>
        <item x="732"/>
        <item x="751"/>
        <item x="707"/>
        <item x="793"/>
        <item x="722"/>
        <item x="187"/>
        <item x="73"/>
        <item x="564"/>
        <item x="821"/>
        <item x="155"/>
        <item x="122"/>
        <item x="395"/>
        <item x="671"/>
        <item x="504"/>
        <item x="818"/>
        <item x="49"/>
        <item x="353"/>
        <item x="383"/>
        <item x="648"/>
        <item x="665"/>
        <item x="431"/>
        <item x="556"/>
        <item x="797"/>
        <item x="135"/>
        <item x="785"/>
        <item x="259"/>
        <item x="205"/>
        <item x="145"/>
        <item x="160"/>
        <item x="811"/>
        <item x="563"/>
        <item x="100"/>
        <item x="461"/>
        <item x="182"/>
        <item x="321"/>
        <item x="163"/>
        <item x="173"/>
        <item x="225"/>
        <item x="207"/>
        <item x="557"/>
        <item x="288"/>
        <item x="581"/>
        <item x="47"/>
        <item x="482"/>
        <item x="294"/>
        <item x="170"/>
        <item x="9"/>
        <item x="255"/>
        <item x="703"/>
        <item x="33"/>
        <item x="287"/>
        <item x="271"/>
        <item x="549"/>
        <item x="127"/>
        <item x="405"/>
        <item x="681"/>
        <item x="789"/>
        <item x="214"/>
        <item x="273"/>
        <item x="250"/>
        <item x="792"/>
        <item x="590"/>
        <item x="776"/>
        <item x="186"/>
        <item x="52"/>
        <item x="300"/>
        <item x="223"/>
        <item x="164"/>
        <item x="195"/>
        <item x="668"/>
        <item x="11"/>
        <item x="470"/>
        <item x="240"/>
        <item x="266"/>
        <item x="513"/>
        <item x="404"/>
        <item x="227"/>
        <item x="689"/>
        <item x="448"/>
        <item x="149"/>
        <item x="194"/>
        <item x="618"/>
        <item x="767"/>
        <item x="782"/>
        <item x="75"/>
        <item x="799"/>
        <item x="481"/>
        <item x="247"/>
        <item x="738"/>
        <item x="655"/>
        <item x="683"/>
        <item x="34"/>
        <item x="107"/>
        <item x="101"/>
        <item x="354"/>
        <item x="710"/>
        <item x="422"/>
        <item x="728"/>
        <item x="814"/>
        <item x="675"/>
        <item x="502"/>
        <item x="615"/>
        <item x="304"/>
        <item x="366"/>
        <item x="82"/>
        <item x="634"/>
        <item x="396"/>
        <item x="14"/>
        <item x="553"/>
        <item x="217"/>
        <item x="712"/>
        <item x="674"/>
        <item x="601"/>
        <item x="119"/>
        <item x="702"/>
        <item x="50"/>
        <item x="177"/>
        <item x="666"/>
        <item x="10"/>
        <item x="708"/>
        <item x="652"/>
        <item x="731"/>
        <item x="723"/>
        <item x="336"/>
        <item x="93"/>
        <item x="365"/>
        <item x="429"/>
        <item x="368"/>
        <item x="293"/>
        <item x="820"/>
        <item x="766"/>
        <item x="191"/>
        <item x="2"/>
        <item x="457"/>
        <item x="339"/>
        <item x="45"/>
        <item x="237"/>
        <item x="290"/>
        <item x="166"/>
        <item x="333"/>
        <item x="531"/>
        <item x="268"/>
        <item x="347"/>
        <item x="420"/>
        <item x="452"/>
        <item x="692"/>
        <item x="750"/>
        <item x="338"/>
        <item x="807"/>
        <item x="221"/>
        <item x="367"/>
        <item x="20"/>
        <item x="472"/>
        <item x="184"/>
        <item x="579"/>
        <item x="647"/>
        <item x="62"/>
        <item x="40"/>
        <item x="697"/>
        <item x="222"/>
        <item x="606"/>
        <item x="302"/>
        <item x="123"/>
        <item x="312"/>
        <item x="602"/>
        <item x="435"/>
        <item x="411"/>
        <item x="331"/>
        <item x="232"/>
        <item x="740"/>
        <item x="657"/>
        <item x="361"/>
        <item x="529"/>
        <item x="218"/>
        <item x="120"/>
        <item x="426"/>
        <item x="467"/>
        <item x="65"/>
        <item x="370"/>
        <item x="188"/>
        <item x="462"/>
        <item x="777"/>
        <item x="682"/>
        <item x="352"/>
        <item x="181"/>
        <item x="349"/>
        <item x="96"/>
        <item x="234"/>
        <item x="283"/>
        <item x="812"/>
        <item x="439"/>
        <item x="695"/>
        <item x="419"/>
        <item x="138"/>
        <item x="291"/>
        <item x="16"/>
        <item x="146"/>
        <item x="745"/>
        <item x="60"/>
        <item x="744"/>
        <item x="500"/>
        <item x="408"/>
        <item x="371"/>
        <item x="714"/>
        <item x="110"/>
        <item x="752"/>
        <item x="308"/>
        <item x="620"/>
        <item x="794"/>
        <item x="61"/>
        <item x="202"/>
        <item x="35"/>
        <item x="139"/>
        <item x="742"/>
        <item x="384"/>
        <item x="340"/>
        <item x="608"/>
        <item x="641"/>
        <item x="286"/>
        <item x="771"/>
        <item x="92"/>
        <item x="478"/>
        <item x="605"/>
        <item x="344"/>
        <item x="562"/>
        <item x="406"/>
        <item x="715"/>
        <item x="410"/>
        <item x="490"/>
        <item x="98"/>
        <item x="85"/>
        <item x="77"/>
        <item x="427"/>
        <item x="506"/>
        <item x="477"/>
        <item x="656"/>
        <item x="566"/>
        <item x="103"/>
        <item x="719"/>
        <item x="124"/>
        <item x="66"/>
        <item x="199"/>
        <item x="254"/>
        <item x="105"/>
        <item x="501"/>
        <item x="359"/>
        <item x="713"/>
        <item x="257"/>
        <item x="753"/>
        <item x="392"/>
        <item x="510"/>
        <item x="769"/>
        <item x="179"/>
        <item x="74"/>
        <item x="497"/>
        <item x="577"/>
        <item x="503"/>
        <item x="63"/>
        <item x="407"/>
        <item x="798"/>
        <item x="162"/>
        <item x="495"/>
        <item x="629"/>
        <item x="393"/>
        <item x="215"/>
        <item x="106"/>
        <item x="460"/>
        <item x="356"/>
        <item x="625"/>
        <item x="479"/>
        <item x="189"/>
        <item x="15"/>
        <item x="616"/>
        <item x="386"/>
        <item x="660"/>
        <item x="754"/>
        <item x="491"/>
        <item x="38"/>
        <item x="575"/>
        <item x="303"/>
        <item x="80"/>
        <item x="759"/>
        <item x="327"/>
        <item x="301"/>
        <item x="672"/>
        <item x="276"/>
        <item x="167"/>
        <item x="192"/>
        <item x="224"/>
        <item x="746"/>
        <item x="374"/>
        <item x="231"/>
        <item x="599"/>
        <item x="613"/>
        <item x="414"/>
        <item x="278"/>
        <item x="758"/>
        <item x="345"/>
        <item x="130"/>
        <item x="258"/>
        <item x="131"/>
        <item x="318"/>
        <item x="54"/>
        <item x="83"/>
        <item x="639"/>
        <item x="380"/>
        <item x="770"/>
        <item x="399"/>
        <item x="421"/>
        <item x="29"/>
        <item x="747"/>
        <item x="272"/>
        <item x="68"/>
        <item x="260"/>
        <item x="390"/>
        <item x="704"/>
        <item x="314"/>
        <item x="512"/>
        <item x="760"/>
        <item x="320"/>
        <item x="709"/>
        <item x="315"/>
        <item x="635"/>
        <item x="804"/>
        <item x="363"/>
        <item x="242"/>
        <item x="530"/>
        <item x="334"/>
        <item x="447"/>
        <item x="603"/>
        <item x="440"/>
        <item x="282"/>
        <item x="640"/>
        <item x="373"/>
        <item x="18"/>
        <item x="128"/>
        <item x="678"/>
        <item x="826"/>
        <item x="711"/>
        <item x="263"/>
        <item x="94"/>
        <item x="488"/>
        <item x="382"/>
        <item x="434"/>
        <item x="39"/>
        <item x="298"/>
        <item x="724"/>
        <item x="261"/>
        <item x="30"/>
        <item x="522"/>
        <item x="749"/>
        <item x="313"/>
        <item x="565"/>
        <item x="114"/>
        <item x="525"/>
        <item x="473"/>
        <item x="156"/>
        <item x="57"/>
        <item x="270"/>
        <item x="32"/>
        <item x="141"/>
        <item x="492"/>
        <item x="774"/>
        <item x="210"/>
        <item x="329"/>
        <item x="485"/>
        <item x="151"/>
        <item x="417"/>
        <item x="238"/>
        <item x="802"/>
        <item x="348"/>
        <item x="541"/>
        <item x="700"/>
        <item x="588"/>
        <item x="350"/>
        <item x="143"/>
        <item x="779"/>
        <item x="733"/>
        <item x="825"/>
        <item x="726"/>
        <item x="235"/>
        <item x="624"/>
        <item x="42"/>
        <item x="252"/>
        <item x="219"/>
        <item x="809"/>
        <item x="269"/>
        <item x="645"/>
        <item x="636"/>
        <item x="786"/>
        <item x="289"/>
        <item x="297"/>
        <item x="611"/>
        <item x="622"/>
        <item x="3"/>
        <item x="784"/>
        <item x="328"/>
        <item x="409"/>
        <item x="168"/>
        <item x="795"/>
        <item x="97"/>
        <item x="571"/>
        <item x="112"/>
        <item x="498"/>
        <item x="805"/>
        <item x="554"/>
        <item x="552"/>
        <item x="364"/>
        <item x="444"/>
        <item x="627"/>
        <item x="717"/>
        <item x="667"/>
        <item x="229"/>
        <item x="765"/>
        <item x="375"/>
        <item x="351"/>
        <item x="21"/>
        <item x="518"/>
        <item x="621"/>
        <item x="755"/>
        <item x="87"/>
        <item x="630"/>
        <item x="538"/>
        <item x="594"/>
        <item x="385"/>
        <item x="521"/>
        <item x="6"/>
        <item x="540"/>
        <item x="780"/>
        <item x="558"/>
        <item x="423"/>
        <item x="591"/>
        <item x="157"/>
        <item x="249"/>
        <item x="699"/>
        <item x="402"/>
        <item x="573"/>
        <item x="720"/>
        <item x="369"/>
        <item x="469"/>
        <item x="649"/>
        <item x="438"/>
        <item x="685"/>
        <item x="550"/>
        <item x="475"/>
        <item x="292"/>
        <item x="465"/>
        <item x="381"/>
        <item x="306"/>
        <item x="609"/>
        <item x="787"/>
        <item x="99"/>
        <item x="265"/>
        <item x="768"/>
        <item x="783"/>
        <item x="688"/>
        <item x="586"/>
        <item x="309"/>
        <item x="480"/>
        <item x="51"/>
        <item x="129"/>
        <item x="604"/>
        <item x="190"/>
        <item x="484"/>
        <item x="568"/>
        <item x="706"/>
        <item x="514"/>
        <item x="228"/>
        <item x="24"/>
        <item x="454"/>
        <item x="471"/>
        <item x="28"/>
        <item x="463"/>
        <item x="64"/>
        <item x="693"/>
        <item x="13"/>
        <item x="676"/>
        <item x="79"/>
        <item x="264"/>
        <item x="4"/>
        <item x="555"/>
        <item x="570"/>
        <item x="379"/>
        <item x="772"/>
        <item x="307"/>
        <item x="46"/>
        <item x="757"/>
        <item x="487"/>
        <item x="696"/>
        <item x="631"/>
        <item x="67"/>
        <item x="511"/>
        <item x="241"/>
        <item x="109"/>
        <item x="121"/>
        <item x="31"/>
        <item x="628"/>
        <item x="253"/>
        <item x="730"/>
        <item x="376"/>
        <item x="133"/>
        <item x="643"/>
        <item x="808"/>
        <item x="274"/>
        <item x="430"/>
        <item x="277"/>
        <item x="496"/>
        <item x="193"/>
        <item x="211"/>
        <item x="559"/>
        <item x="748"/>
        <item x="721"/>
        <item x="442"/>
        <item x="607"/>
        <item x="505"/>
        <item x="1"/>
        <item x="244"/>
        <item x="295"/>
        <item x="148"/>
        <item x="520"/>
        <item x="595"/>
        <item x="22"/>
        <item x="280"/>
        <item x="610"/>
        <item x="412"/>
        <item x="727"/>
        <item x="433"/>
        <item x="424"/>
        <item x="175"/>
        <item x="535"/>
        <item x="391"/>
        <item x="646"/>
        <item x="208"/>
        <item x="43"/>
        <item x="37"/>
        <item x="346"/>
        <item x="337"/>
        <item x="526"/>
        <item x="679"/>
        <item x="694"/>
        <item x="493"/>
        <item x="7"/>
        <item x="451"/>
        <item x="523"/>
        <item x="136"/>
        <item x="796"/>
        <item x="775"/>
        <item x="91"/>
        <item x="499"/>
        <item x="778"/>
        <item x="418"/>
        <item x="547"/>
        <item x="220"/>
        <item x="319"/>
        <item x="343"/>
        <item x="574"/>
        <item x="58"/>
        <item x="55"/>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4">
    <i>
      <x/>
    </i>
    <i>
      <x v="1"/>
    </i>
    <i>
      <x v="2"/>
    </i>
    <i t="grand">
      <x/>
    </i>
  </rowItems>
  <colFields count="1">
    <field x="-2"/>
  </colFields>
  <colItems count="2">
    <i>
      <x/>
    </i>
    <i i="1">
      <x v="1"/>
    </i>
  </colItems>
  <dataFields count="2">
    <dataField name="Sum of Total_Revenue" fld="5" baseField="0" baseItem="0" numFmtId="164"/>
    <dataField name="Sum of Gross_Margin" fld="7" baseField="0" baseItem="0" numFmtId="164"/>
  </dataField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5"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0"/>
        <item x="2"/>
        <item x="1"/>
        <item t="default"/>
      </items>
    </pivotField>
    <pivotField showAll="0">
      <items count="4">
        <item x="1"/>
        <item x="2"/>
        <item x="0"/>
        <item t="default"/>
      </items>
    </pivotField>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sd="0" x="10"/>
        <item sd="0" x="11"/>
        <item sd="0" x="12"/>
        <item x="13"/>
        <item t="default"/>
      </items>
    </pivotField>
    <pivotField dragToRow="0" dragToCol="0" dragToPage="0" showAll="0" defaultSubtotal="0"/>
  </pivotFields>
  <rowFields count="2">
    <field x="11"/>
    <field x="0"/>
  </rowFields>
  <rowItems count="4">
    <i>
      <x v="10"/>
    </i>
    <i>
      <x v="11"/>
    </i>
    <i>
      <x v="12"/>
    </i>
    <i t="grand">
      <x/>
    </i>
  </rowItems>
  <colItems count="1">
    <i/>
  </colItems>
  <dataFields count="1">
    <dataField name="Sum of Total_Revenue" fld="5"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3">
    <pivotField numFmtId="14" showAll="0"/>
    <pivotField showAll="0">
      <items count="4">
        <item x="0"/>
        <item x="2"/>
        <item x="1"/>
        <item t="default"/>
      </items>
    </pivotField>
    <pivotField showAll="0">
      <items count="4">
        <item x="1"/>
        <item x="2"/>
        <item x="0"/>
        <item t="default"/>
      </items>
    </pivotField>
    <pivotField dataField="1" showAll="0"/>
    <pivotField showAll="0"/>
    <pivotField showAll="0"/>
    <pivotField showAll="0"/>
    <pivotField showAll="0"/>
    <pivotField axis="axisRow" showAll="0">
      <items count="3">
        <item x="0"/>
        <item x="1"/>
        <item t="default"/>
      </items>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8"/>
  </rowFields>
  <rowItems count="3">
    <i>
      <x/>
    </i>
    <i>
      <x v="1"/>
    </i>
    <i t="grand">
      <x/>
    </i>
  </rowItems>
  <colItems count="1">
    <i/>
  </colItems>
  <dataFields count="1">
    <dataField name="Sum of Quantity_Litres" fld="3"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12206E-69AE-4286-A412-2DDEB771D956}"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3" firstHeaderRow="1" firstDataRow="1" firstDataCol="1"/>
  <pivotFields count="13">
    <pivotField numFmtId="14"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defaultSubtotal="0"/>
    <pivotField dragToRow="0" dragToCol="0" dragToPage="0" showAll="0" defaultSubtotal="0"/>
  </pivotFields>
  <rowFields count="1">
    <field x="1"/>
  </rowFields>
  <rowItems count="4">
    <i>
      <x v="2"/>
    </i>
    <i>
      <x/>
    </i>
    <i>
      <x v="1"/>
    </i>
    <i t="grand">
      <x/>
    </i>
  </rowItems>
  <colItems count="1">
    <i/>
  </colItems>
  <dataFields count="1">
    <dataField name="Sum of Total_Revenue"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830455-3054-4505-8F2A-6AFCF9A9B345}"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6" firstHeaderRow="1" firstDataRow="1" firstDataCol="1"/>
  <pivotFields count="13">
    <pivotField numFmtId="14"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defaultSubtotal="0"/>
    <pivotField dragToRow="0" dragToCol="0" dragToPage="0" showAll="0" defaultSubtotal="0"/>
  </pivotFields>
  <rowFields count="1">
    <field x="2"/>
  </rowFields>
  <rowItems count="4">
    <i>
      <x/>
    </i>
    <i>
      <x v="2"/>
    </i>
    <i>
      <x v="1"/>
    </i>
    <i t="grand">
      <x/>
    </i>
  </rowItems>
  <colItems count="1">
    <i/>
  </colItems>
  <dataFields count="1">
    <dataField name="Sum of Total_Revenue"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C97347-294A-4915-87C7-793FB0213722}"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3">
    <pivotField numFmtId="14" showAll="0"/>
    <pivotField showAll="0"/>
    <pivotField showAll="0"/>
    <pivotField showAll="0"/>
    <pivotField showAll="0"/>
    <pivotField showAll="0"/>
    <pivotField showAll="0"/>
    <pivotField showAll="0"/>
    <pivotField showAll="0"/>
    <pivotField showAll="0"/>
    <pivotField showAll="0"/>
    <pivotField showAll="0" defaultSubtotal="0"/>
    <pivotField dataField="1" dragToRow="0" dragToCol="0" dragToPage="0" showAll="0" defaultSubtotal="0"/>
  </pivotFields>
  <rowItems count="1">
    <i/>
  </rowItems>
  <colItems count="1">
    <i/>
  </colItems>
  <dataFields count="1">
    <dataField name="Sum of Margin%" fld="12"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FE7B49-2C7B-4FEB-A263-EBBD750BB27A}"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3">
    <pivotField numFmtId="14" showAll="0"/>
    <pivotField showAll="0"/>
    <pivotField showAll="0"/>
    <pivotField dataField="1" showAll="0"/>
    <pivotField showAll="0"/>
    <pivotField showAll="0"/>
    <pivotField showAll="0"/>
    <pivotField showAll="0"/>
    <pivotField showAll="0"/>
    <pivotField showAll="0"/>
    <pivotField showAll="0"/>
    <pivotField showAll="0" defaultSubtotal="0"/>
    <pivotField dragToRow="0" dragToCol="0" dragToPage="0" showAll="0" defaultSubtotal="0"/>
  </pivotFields>
  <rowItems count="1">
    <i/>
  </rowItems>
  <colItems count="1">
    <i/>
  </colItems>
  <dataFields count="1">
    <dataField name="Sum of Quantity_Litr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A6B495-FFBC-4B48-8D89-69B8EF9AA61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numFmtId="14" showAll="0"/>
    <pivotField showAll="0"/>
    <pivotField showAll="0"/>
    <pivotField showAll="0"/>
    <pivotField showAll="0"/>
    <pivotField dataField="1" showAll="0"/>
    <pivotField showAll="0"/>
    <pivotField showAll="0"/>
    <pivotField showAll="0"/>
    <pivotField showAll="0"/>
    <pivotField showAll="0"/>
    <pivotField showAll="0" defaultSubtotal="0"/>
    <pivotField dragToRow="0" dragToCol="0" dragToPage="0" showAll="0" defaultSubtotal="0"/>
  </pivotFields>
  <rowItems count="1">
    <i/>
  </rowItems>
  <colItems count="1">
    <i/>
  </colItems>
  <dataFields count="1">
    <dataField name="Sum of Total_Revenue"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ot" xr10:uid="{8A17E63A-4E90-4E93-AF49-5F34718264CB}" sourceName="Depot">
  <pivotTables>
    <pivotTable tabId="2" name="PivotTable1"/>
    <pivotTable tabId="6" name="PivotTable4"/>
    <pivotTable tabId="4" name="PivotTable2"/>
    <pivotTable tabId="5" name="PivotTable3"/>
  </pivotTables>
  <data>
    <tabular pivotCacheId="68542200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845A15A-C959-4190-B628-2B96335D0C9E}" sourceName="Product">
  <pivotTables>
    <pivotTable tabId="2" name="PivotTable1"/>
    <pivotTable tabId="6" name="PivotTable4"/>
    <pivotTable tabId="4" name="PivotTable2"/>
    <pivotTable tabId="5" name="PivotTable3"/>
  </pivotTables>
  <data>
    <tabular pivotCacheId="68542200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4D43B8D4-9E3A-4CF1-A3B9-7A874221865B}" sourceName="Months">
  <pivotTables>
    <pivotTable tabId="2" name="PivotTable1"/>
    <pivotTable tabId="6" name="PivotTable4"/>
    <pivotTable tabId="4" name="PivotTable2"/>
    <pivotTable tabId="5" name="PivotTable3"/>
  </pivotTables>
  <data>
    <tabular pivotCacheId="685422008">
      <items count="14">
        <i x="10" s="1"/>
        <i x="11" s="1"/>
        <i x="12" s="1"/>
        <i x="1" s="1" nd="1"/>
        <i x="2" s="1" nd="1"/>
        <i x="3" s="1" nd="1"/>
        <i x="4" s="1" nd="1"/>
        <i x="5" s="1" nd="1"/>
        <i x="6" s="1" nd="1"/>
        <i x="7" s="1" nd="1"/>
        <i x="8" s="1" nd="1"/>
        <i x="9"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ot" xr10:uid="{C7708C40-8234-4006-AFA9-C43AC83DC5D9}" cache="Slicer_Depot" caption="Depot" rowHeight="241300"/>
  <slicer name="Product" xr10:uid="{BAB691D2-F2E4-4E14-8CAE-F6581B9EEA46}" cache="Slicer_Product" caption="Product" rowHeight="241300"/>
  <slicer name="Months" xr10:uid="{9345152E-8FD2-49A2-AFF0-F1D2E5B76C3B}" cache="Slicer_Months" caption="Month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ot 1" xr10:uid="{09F9DFC6-BA21-4193-A55C-287752708E3E}" cache="Slicer_Depot" caption="Depot" rowHeight="241300"/>
  <slicer name="Product 1" xr10:uid="{2966F266-B4CC-423D-A712-F54A0511879E}" cache="Slicer_Product" caption="Product" rowHeight="241300"/>
  <slicer name="Months 1" xr10:uid="{F44C8DAA-3932-4C5D-A321-2DA0E6BFD6AE}" cache="Slicer_Months" caption="Month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wnstreamSales" displayName="DownstreamSales" ref="A1:K829" totalsRowShown="0">
  <autoFilter ref="A1:K829" xr:uid="{00000000-0009-0000-0100-000001000000}"/>
  <tableColumns count="11">
    <tableColumn id="1" xr3:uid="{00000000-0010-0000-0000-000001000000}" name="Date" dataDxfId="0"/>
    <tableColumn id="2" xr3:uid="{00000000-0010-0000-0000-000002000000}" name="Depot"/>
    <tableColumn id="3" xr3:uid="{00000000-0010-0000-0000-000003000000}" name="Product"/>
    <tableColumn id="4" xr3:uid="{00000000-0010-0000-0000-000004000000}" name="Quantity_Litres"/>
    <tableColumn id="5" xr3:uid="{00000000-0010-0000-0000-000005000000}" name="Unit_Price"/>
    <tableColumn id="6" xr3:uid="{00000000-0010-0000-0000-000006000000}" name="Total_Revenue"/>
    <tableColumn id="7" xr3:uid="{00000000-0010-0000-0000-000007000000}" name="Cost_Price"/>
    <tableColumn id="8" xr3:uid="{00000000-0010-0000-0000-000008000000}" name="Gross_Margin"/>
    <tableColumn id="9" xr3:uid="{00000000-0010-0000-0000-000009000000}" name="Customer_Type"/>
    <tableColumn id="10" xr3:uid="{00000000-0010-0000-0000-00000A000000}" name="Stock_Before"/>
    <tableColumn id="11" xr3:uid="{00000000-0010-0000-0000-00000B000000}" name="Stock_Aft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3.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29"/>
  <sheetViews>
    <sheetView topLeftCell="A2" workbookViewId="0">
      <selection activeCell="C13" sqref="C13"/>
    </sheetView>
  </sheetViews>
  <sheetFormatPr defaultRowHeight="15" x14ac:dyDescent="0.25"/>
  <cols>
    <col min="1" max="1" width="22.42578125" customWidth="1"/>
    <col min="3" max="3" width="10" customWidth="1"/>
    <col min="4" max="4" width="16.7109375" customWidth="1"/>
    <col min="5" max="5" width="12.42578125" customWidth="1"/>
    <col min="6" max="6" width="16.42578125" customWidth="1"/>
    <col min="7" max="7" width="12.42578125" customWidth="1"/>
    <col min="8" max="8" width="15.42578125" customWidth="1"/>
    <col min="9" max="9" width="17" customWidth="1"/>
    <col min="10" max="10" width="14.85546875" customWidth="1"/>
    <col min="11" max="11" width="13.42578125" customWidth="1"/>
  </cols>
  <sheetData>
    <row r="1" spans="1:11" x14ac:dyDescent="0.25">
      <c r="A1" t="s">
        <v>0</v>
      </c>
      <c r="B1" t="s">
        <v>1</v>
      </c>
      <c r="C1" t="s">
        <v>2</v>
      </c>
      <c r="D1" t="s">
        <v>3</v>
      </c>
      <c r="E1" t="s">
        <v>4</v>
      </c>
      <c r="F1" t="s">
        <v>5</v>
      </c>
      <c r="G1" t="s">
        <v>6</v>
      </c>
      <c r="H1" t="s">
        <v>7</v>
      </c>
      <c r="I1" t="s">
        <v>8</v>
      </c>
      <c r="J1" t="s">
        <v>9</v>
      </c>
      <c r="K1" t="s">
        <v>10</v>
      </c>
    </row>
    <row r="2" spans="1:11" x14ac:dyDescent="0.25">
      <c r="A2" s="1">
        <v>45566</v>
      </c>
      <c r="B2" t="s">
        <v>11</v>
      </c>
      <c r="C2" t="s">
        <v>12</v>
      </c>
      <c r="D2">
        <v>35795</v>
      </c>
      <c r="E2">
        <v>692</v>
      </c>
      <c r="F2">
        <v>24770140</v>
      </c>
      <c r="G2">
        <v>648</v>
      </c>
      <c r="H2">
        <v>1574980</v>
      </c>
      <c r="I2" t="s">
        <v>13</v>
      </c>
      <c r="J2">
        <v>459178</v>
      </c>
      <c r="K2">
        <v>423383</v>
      </c>
    </row>
    <row r="3" spans="1:11" x14ac:dyDescent="0.25">
      <c r="A3" s="1">
        <v>45566</v>
      </c>
      <c r="B3" t="s">
        <v>11</v>
      </c>
      <c r="C3" t="s">
        <v>14</v>
      </c>
      <c r="D3">
        <v>74886</v>
      </c>
      <c r="E3">
        <v>871</v>
      </c>
      <c r="F3">
        <v>65225706</v>
      </c>
      <c r="G3">
        <v>823</v>
      </c>
      <c r="H3">
        <v>3594528</v>
      </c>
      <c r="I3" t="s">
        <v>13</v>
      </c>
      <c r="J3">
        <v>287498</v>
      </c>
      <c r="K3">
        <v>212612</v>
      </c>
    </row>
    <row r="4" spans="1:11" x14ac:dyDescent="0.25">
      <c r="A4" s="1">
        <v>45566</v>
      </c>
      <c r="B4" t="s">
        <v>11</v>
      </c>
      <c r="C4" t="s">
        <v>15</v>
      </c>
      <c r="D4">
        <v>64131</v>
      </c>
      <c r="E4">
        <v>523</v>
      </c>
      <c r="F4">
        <v>33540513</v>
      </c>
      <c r="G4">
        <v>491</v>
      </c>
      <c r="H4">
        <v>2052192</v>
      </c>
      <c r="I4" t="s">
        <v>13</v>
      </c>
      <c r="J4">
        <v>264820</v>
      </c>
      <c r="K4">
        <v>200689</v>
      </c>
    </row>
    <row r="5" spans="1:11" x14ac:dyDescent="0.25">
      <c r="A5" s="1">
        <v>45566</v>
      </c>
      <c r="B5" t="s">
        <v>16</v>
      </c>
      <c r="C5" t="s">
        <v>12</v>
      </c>
      <c r="D5">
        <v>79735</v>
      </c>
      <c r="E5">
        <v>629</v>
      </c>
      <c r="F5">
        <v>50153315</v>
      </c>
      <c r="G5">
        <v>562</v>
      </c>
      <c r="H5">
        <v>5342245</v>
      </c>
      <c r="I5" t="s">
        <v>13</v>
      </c>
      <c r="J5">
        <v>399041</v>
      </c>
      <c r="K5">
        <v>319306</v>
      </c>
    </row>
    <row r="6" spans="1:11" x14ac:dyDescent="0.25">
      <c r="A6" s="1">
        <v>45566</v>
      </c>
      <c r="B6" t="s">
        <v>16</v>
      </c>
      <c r="C6" t="s">
        <v>14</v>
      </c>
      <c r="D6">
        <v>73707</v>
      </c>
      <c r="E6">
        <v>807</v>
      </c>
      <c r="F6">
        <v>59481549</v>
      </c>
      <c r="G6">
        <v>756</v>
      </c>
      <c r="H6">
        <v>3759057</v>
      </c>
      <c r="I6" t="s">
        <v>17</v>
      </c>
      <c r="J6">
        <v>458795</v>
      </c>
      <c r="K6">
        <v>385088</v>
      </c>
    </row>
    <row r="7" spans="1:11" x14ac:dyDescent="0.25">
      <c r="A7" s="1">
        <v>45566</v>
      </c>
      <c r="B7" t="s">
        <v>16</v>
      </c>
      <c r="C7" t="s">
        <v>15</v>
      </c>
      <c r="D7">
        <v>45658</v>
      </c>
      <c r="E7">
        <v>541</v>
      </c>
      <c r="F7">
        <v>24700978</v>
      </c>
      <c r="G7">
        <v>484</v>
      </c>
      <c r="H7">
        <v>2602506</v>
      </c>
      <c r="I7" t="s">
        <v>13</v>
      </c>
      <c r="J7">
        <v>202747</v>
      </c>
      <c r="K7">
        <v>157089</v>
      </c>
    </row>
    <row r="8" spans="1:11" x14ac:dyDescent="0.25">
      <c r="A8" s="1">
        <v>45566</v>
      </c>
      <c r="B8" t="s">
        <v>18</v>
      </c>
      <c r="C8" t="s">
        <v>12</v>
      </c>
      <c r="D8">
        <v>79150</v>
      </c>
      <c r="E8">
        <v>661</v>
      </c>
      <c r="F8">
        <v>52318150</v>
      </c>
      <c r="G8">
        <v>585</v>
      </c>
      <c r="H8">
        <v>6015400</v>
      </c>
      <c r="I8" t="s">
        <v>17</v>
      </c>
      <c r="J8">
        <v>267435</v>
      </c>
      <c r="K8">
        <v>188285</v>
      </c>
    </row>
    <row r="9" spans="1:11" x14ac:dyDescent="0.25">
      <c r="A9" s="1">
        <v>45566</v>
      </c>
      <c r="B9" t="s">
        <v>18</v>
      </c>
      <c r="C9" t="s">
        <v>14</v>
      </c>
      <c r="D9">
        <v>86803</v>
      </c>
      <c r="E9">
        <v>813</v>
      </c>
      <c r="F9">
        <v>70570839</v>
      </c>
      <c r="G9">
        <v>781</v>
      </c>
      <c r="H9">
        <v>2777696</v>
      </c>
      <c r="I9" t="s">
        <v>17</v>
      </c>
      <c r="J9">
        <v>203890</v>
      </c>
      <c r="K9">
        <v>117087</v>
      </c>
    </row>
    <row r="10" spans="1:11" x14ac:dyDescent="0.25">
      <c r="A10" s="1">
        <v>45566</v>
      </c>
      <c r="B10" t="s">
        <v>18</v>
      </c>
      <c r="C10" t="s">
        <v>15</v>
      </c>
      <c r="D10">
        <v>30627</v>
      </c>
      <c r="E10">
        <v>588</v>
      </c>
      <c r="F10">
        <v>18008676</v>
      </c>
      <c r="G10">
        <v>545</v>
      </c>
      <c r="H10">
        <v>1316961</v>
      </c>
      <c r="I10" t="s">
        <v>13</v>
      </c>
      <c r="J10">
        <v>405041</v>
      </c>
      <c r="K10">
        <v>374414</v>
      </c>
    </row>
    <row r="11" spans="1:11" x14ac:dyDescent="0.25">
      <c r="A11" s="1">
        <v>45567</v>
      </c>
      <c r="B11" t="s">
        <v>11</v>
      </c>
      <c r="C11" t="s">
        <v>12</v>
      </c>
      <c r="D11">
        <v>43897</v>
      </c>
      <c r="E11">
        <v>652</v>
      </c>
      <c r="F11">
        <v>28620844</v>
      </c>
      <c r="G11">
        <v>621</v>
      </c>
      <c r="H11">
        <v>1360807</v>
      </c>
      <c r="I11" t="s">
        <v>13</v>
      </c>
      <c r="J11">
        <v>324243</v>
      </c>
      <c r="K11">
        <v>280346</v>
      </c>
    </row>
    <row r="12" spans="1:11" x14ac:dyDescent="0.25">
      <c r="A12" s="1">
        <v>45567</v>
      </c>
      <c r="B12" t="s">
        <v>11</v>
      </c>
      <c r="C12" t="s">
        <v>14</v>
      </c>
      <c r="D12">
        <v>43483</v>
      </c>
      <c r="E12">
        <v>757</v>
      </c>
      <c r="F12">
        <v>32916631</v>
      </c>
      <c r="G12">
        <v>681</v>
      </c>
      <c r="H12">
        <v>3304708</v>
      </c>
      <c r="I12" t="s">
        <v>13</v>
      </c>
      <c r="J12">
        <v>306530</v>
      </c>
      <c r="K12">
        <v>263047</v>
      </c>
    </row>
    <row r="13" spans="1:11" x14ac:dyDescent="0.25">
      <c r="A13" s="1">
        <v>45567</v>
      </c>
      <c r="B13" t="s">
        <v>11</v>
      </c>
      <c r="C13" t="s">
        <v>15</v>
      </c>
      <c r="D13">
        <v>55920</v>
      </c>
      <c r="E13">
        <v>535</v>
      </c>
      <c r="F13">
        <v>29917200</v>
      </c>
      <c r="G13">
        <v>456</v>
      </c>
      <c r="H13">
        <v>4417680</v>
      </c>
      <c r="I13" t="s">
        <v>13</v>
      </c>
      <c r="J13">
        <v>400551</v>
      </c>
      <c r="K13">
        <v>344631</v>
      </c>
    </row>
    <row r="14" spans="1:11" x14ac:dyDescent="0.25">
      <c r="A14" s="1">
        <v>45567</v>
      </c>
      <c r="B14" t="s">
        <v>16</v>
      </c>
      <c r="C14" t="s">
        <v>12</v>
      </c>
      <c r="D14">
        <v>39457</v>
      </c>
      <c r="E14">
        <v>605</v>
      </c>
      <c r="F14">
        <v>23871485</v>
      </c>
      <c r="G14">
        <v>534</v>
      </c>
      <c r="H14">
        <v>2801447</v>
      </c>
      <c r="I14" t="s">
        <v>17</v>
      </c>
      <c r="J14">
        <v>371829</v>
      </c>
      <c r="K14">
        <v>332372</v>
      </c>
    </row>
    <row r="15" spans="1:11" x14ac:dyDescent="0.25">
      <c r="A15" s="1">
        <v>45567</v>
      </c>
      <c r="B15" t="s">
        <v>16</v>
      </c>
      <c r="C15" t="s">
        <v>14</v>
      </c>
      <c r="D15">
        <v>65758</v>
      </c>
      <c r="E15">
        <v>895</v>
      </c>
      <c r="F15">
        <v>58853410</v>
      </c>
      <c r="G15">
        <v>840</v>
      </c>
      <c r="H15">
        <v>3616690</v>
      </c>
      <c r="I15" t="s">
        <v>13</v>
      </c>
      <c r="J15">
        <v>402283</v>
      </c>
      <c r="K15">
        <v>336525</v>
      </c>
    </row>
    <row r="16" spans="1:11" x14ac:dyDescent="0.25">
      <c r="A16" s="1">
        <v>45567</v>
      </c>
      <c r="B16" t="s">
        <v>16</v>
      </c>
      <c r="C16" t="s">
        <v>15</v>
      </c>
      <c r="D16">
        <v>57065</v>
      </c>
      <c r="E16">
        <v>561</v>
      </c>
      <c r="F16">
        <v>32013465</v>
      </c>
      <c r="G16">
        <v>496</v>
      </c>
      <c r="H16">
        <v>3709225</v>
      </c>
      <c r="I16" t="s">
        <v>13</v>
      </c>
      <c r="J16">
        <v>211534</v>
      </c>
      <c r="K16">
        <v>154469</v>
      </c>
    </row>
    <row r="17" spans="1:11" x14ac:dyDescent="0.25">
      <c r="A17" s="1">
        <v>45567</v>
      </c>
      <c r="B17" t="s">
        <v>18</v>
      </c>
      <c r="C17" t="s">
        <v>12</v>
      </c>
      <c r="D17">
        <v>60397</v>
      </c>
      <c r="E17">
        <v>686</v>
      </c>
      <c r="F17">
        <v>41432342</v>
      </c>
      <c r="G17">
        <v>617</v>
      </c>
      <c r="H17">
        <v>4167393</v>
      </c>
      <c r="I17" t="s">
        <v>13</v>
      </c>
      <c r="J17">
        <v>420884</v>
      </c>
      <c r="K17">
        <v>360487</v>
      </c>
    </row>
    <row r="18" spans="1:11" x14ac:dyDescent="0.25">
      <c r="A18" s="1">
        <v>45567</v>
      </c>
      <c r="B18" t="s">
        <v>18</v>
      </c>
      <c r="C18" t="s">
        <v>14</v>
      </c>
      <c r="D18">
        <v>44300</v>
      </c>
      <c r="E18">
        <v>831</v>
      </c>
      <c r="F18">
        <v>36813300</v>
      </c>
      <c r="G18">
        <v>755</v>
      </c>
      <c r="H18">
        <v>3366800</v>
      </c>
      <c r="I18" t="s">
        <v>13</v>
      </c>
      <c r="J18">
        <v>209268</v>
      </c>
      <c r="K18">
        <v>164968</v>
      </c>
    </row>
    <row r="19" spans="1:11" x14ac:dyDescent="0.25">
      <c r="A19" s="1">
        <v>45567</v>
      </c>
      <c r="B19" t="s">
        <v>18</v>
      </c>
      <c r="C19" t="s">
        <v>15</v>
      </c>
      <c r="D19">
        <v>32185</v>
      </c>
      <c r="E19">
        <v>588</v>
      </c>
      <c r="F19">
        <v>18924780</v>
      </c>
      <c r="G19">
        <v>514</v>
      </c>
      <c r="H19">
        <v>2381690</v>
      </c>
      <c r="I19" t="s">
        <v>17</v>
      </c>
      <c r="J19">
        <v>436584</v>
      </c>
      <c r="K19">
        <v>404399</v>
      </c>
    </row>
    <row r="20" spans="1:11" x14ac:dyDescent="0.25">
      <c r="A20" s="1">
        <v>45568</v>
      </c>
      <c r="B20" t="s">
        <v>11</v>
      </c>
      <c r="C20" t="s">
        <v>12</v>
      </c>
      <c r="D20">
        <v>71214</v>
      </c>
      <c r="E20">
        <v>644</v>
      </c>
      <c r="F20">
        <v>45861816</v>
      </c>
      <c r="G20">
        <v>614</v>
      </c>
      <c r="H20">
        <v>2136420</v>
      </c>
      <c r="I20" t="s">
        <v>17</v>
      </c>
      <c r="J20">
        <v>248984</v>
      </c>
      <c r="K20">
        <v>177770</v>
      </c>
    </row>
    <row r="21" spans="1:11" x14ac:dyDescent="0.25">
      <c r="A21" s="1">
        <v>45568</v>
      </c>
      <c r="B21" t="s">
        <v>11</v>
      </c>
      <c r="C21" t="s">
        <v>14</v>
      </c>
      <c r="D21">
        <v>22568</v>
      </c>
      <c r="E21">
        <v>837</v>
      </c>
      <c r="F21">
        <v>18889416</v>
      </c>
      <c r="G21">
        <v>807</v>
      </c>
      <c r="H21">
        <v>677040</v>
      </c>
      <c r="I21" t="s">
        <v>13</v>
      </c>
      <c r="J21">
        <v>333767</v>
      </c>
      <c r="K21">
        <v>311199</v>
      </c>
    </row>
    <row r="22" spans="1:11" x14ac:dyDescent="0.25">
      <c r="A22" s="1">
        <v>45568</v>
      </c>
      <c r="B22" t="s">
        <v>11</v>
      </c>
      <c r="C22" t="s">
        <v>15</v>
      </c>
      <c r="D22">
        <v>68190</v>
      </c>
      <c r="E22">
        <v>510</v>
      </c>
      <c r="F22">
        <v>34776900</v>
      </c>
      <c r="G22">
        <v>464</v>
      </c>
      <c r="H22">
        <v>3136740</v>
      </c>
      <c r="I22" t="s">
        <v>17</v>
      </c>
      <c r="J22">
        <v>364231</v>
      </c>
      <c r="K22">
        <v>296041</v>
      </c>
    </row>
    <row r="23" spans="1:11" x14ac:dyDescent="0.25">
      <c r="A23" s="1">
        <v>45568</v>
      </c>
      <c r="B23" t="s">
        <v>16</v>
      </c>
      <c r="C23" t="s">
        <v>12</v>
      </c>
      <c r="D23">
        <v>81858</v>
      </c>
      <c r="E23">
        <v>632</v>
      </c>
      <c r="F23">
        <v>51734256</v>
      </c>
      <c r="G23">
        <v>598</v>
      </c>
      <c r="H23">
        <v>2783172</v>
      </c>
      <c r="I23" t="s">
        <v>17</v>
      </c>
      <c r="J23">
        <v>334633</v>
      </c>
      <c r="K23">
        <v>252775</v>
      </c>
    </row>
    <row r="24" spans="1:11" x14ac:dyDescent="0.25">
      <c r="A24" s="1">
        <v>45568</v>
      </c>
      <c r="B24" t="s">
        <v>16</v>
      </c>
      <c r="C24" t="s">
        <v>14</v>
      </c>
      <c r="D24">
        <v>84505</v>
      </c>
      <c r="E24">
        <v>790</v>
      </c>
      <c r="F24">
        <v>66758950</v>
      </c>
      <c r="G24">
        <v>733</v>
      </c>
      <c r="H24">
        <v>4816785</v>
      </c>
      <c r="I24" t="s">
        <v>17</v>
      </c>
      <c r="J24">
        <v>484806</v>
      </c>
      <c r="K24">
        <v>400301</v>
      </c>
    </row>
    <row r="25" spans="1:11" x14ac:dyDescent="0.25">
      <c r="A25" s="1">
        <v>45568</v>
      </c>
      <c r="B25" t="s">
        <v>16</v>
      </c>
      <c r="C25" t="s">
        <v>15</v>
      </c>
      <c r="D25">
        <v>50535</v>
      </c>
      <c r="E25">
        <v>511</v>
      </c>
      <c r="F25">
        <v>25823385</v>
      </c>
      <c r="G25">
        <v>448</v>
      </c>
      <c r="H25">
        <v>3183705</v>
      </c>
      <c r="I25" t="s">
        <v>13</v>
      </c>
      <c r="J25">
        <v>497366</v>
      </c>
      <c r="K25">
        <v>446831</v>
      </c>
    </row>
    <row r="26" spans="1:11" x14ac:dyDescent="0.25">
      <c r="A26" s="1">
        <v>45568</v>
      </c>
      <c r="B26" t="s">
        <v>18</v>
      </c>
      <c r="C26" t="s">
        <v>12</v>
      </c>
      <c r="D26">
        <v>83335</v>
      </c>
      <c r="E26">
        <v>685</v>
      </c>
      <c r="F26">
        <v>57084475</v>
      </c>
      <c r="G26">
        <v>629</v>
      </c>
      <c r="H26">
        <v>4666760</v>
      </c>
      <c r="I26" t="s">
        <v>17</v>
      </c>
      <c r="J26">
        <v>401664</v>
      </c>
      <c r="K26">
        <v>318329</v>
      </c>
    </row>
    <row r="27" spans="1:11" x14ac:dyDescent="0.25">
      <c r="A27" s="1">
        <v>45568</v>
      </c>
      <c r="B27" t="s">
        <v>18</v>
      </c>
      <c r="C27" t="s">
        <v>14</v>
      </c>
      <c r="D27">
        <v>28110</v>
      </c>
      <c r="E27">
        <v>880</v>
      </c>
      <c r="F27">
        <v>24736800</v>
      </c>
      <c r="G27">
        <v>850</v>
      </c>
      <c r="H27">
        <v>843300</v>
      </c>
      <c r="I27" t="s">
        <v>13</v>
      </c>
      <c r="J27">
        <v>414020</v>
      </c>
      <c r="K27">
        <v>385910</v>
      </c>
    </row>
    <row r="28" spans="1:11" x14ac:dyDescent="0.25">
      <c r="A28" s="1">
        <v>45568</v>
      </c>
      <c r="B28" t="s">
        <v>18</v>
      </c>
      <c r="C28" t="s">
        <v>15</v>
      </c>
      <c r="D28">
        <v>26910</v>
      </c>
      <c r="E28">
        <v>513</v>
      </c>
      <c r="F28">
        <v>13804830</v>
      </c>
      <c r="G28">
        <v>445</v>
      </c>
      <c r="H28">
        <v>1829880</v>
      </c>
      <c r="I28" t="s">
        <v>17</v>
      </c>
      <c r="J28">
        <v>321626</v>
      </c>
      <c r="K28">
        <v>294716</v>
      </c>
    </row>
    <row r="29" spans="1:11" x14ac:dyDescent="0.25">
      <c r="A29" s="1">
        <v>45569</v>
      </c>
      <c r="B29" t="s">
        <v>11</v>
      </c>
      <c r="C29" t="s">
        <v>12</v>
      </c>
      <c r="D29">
        <v>20206</v>
      </c>
      <c r="E29">
        <v>614</v>
      </c>
      <c r="F29">
        <v>12406484</v>
      </c>
      <c r="G29">
        <v>559</v>
      </c>
      <c r="H29">
        <v>1111330</v>
      </c>
      <c r="I29" t="s">
        <v>13</v>
      </c>
      <c r="J29">
        <v>322409</v>
      </c>
      <c r="K29">
        <v>302203</v>
      </c>
    </row>
    <row r="30" spans="1:11" x14ac:dyDescent="0.25">
      <c r="A30" s="1">
        <v>45569</v>
      </c>
      <c r="B30" t="s">
        <v>11</v>
      </c>
      <c r="C30" t="s">
        <v>14</v>
      </c>
      <c r="D30">
        <v>70636</v>
      </c>
      <c r="E30">
        <v>812</v>
      </c>
      <c r="F30">
        <v>57356432</v>
      </c>
      <c r="G30">
        <v>751</v>
      </c>
      <c r="H30">
        <v>4308796</v>
      </c>
      <c r="I30" t="s">
        <v>17</v>
      </c>
      <c r="J30">
        <v>448550</v>
      </c>
      <c r="K30">
        <v>377914</v>
      </c>
    </row>
    <row r="31" spans="1:11" x14ac:dyDescent="0.25">
      <c r="A31" s="1">
        <v>45569</v>
      </c>
      <c r="B31" t="s">
        <v>11</v>
      </c>
      <c r="C31" t="s">
        <v>15</v>
      </c>
      <c r="D31">
        <v>74268</v>
      </c>
      <c r="E31">
        <v>595</v>
      </c>
      <c r="F31">
        <v>44189460</v>
      </c>
      <c r="G31">
        <v>562</v>
      </c>
      <c r="H31">
        <v>2450844</v>
      </c>
      <c r="I31" t="s">
        <v>17</v>
      </c>
      <c r="J31">
        <v>411428</v>
      </c>
      <c r="K31">
        <v>337160</v>
      </c>
    </row>
    <row r="32" spans="1:11" x14ac:dyDescent="0.25">
      <c r="A32" s="1">
        <v>45569</v>
      </c>
      <c r="B32" t="s">
        <v>16</v>
      </c>
      <c r="C32" t="s">
        <v>12</v>
      </c>
      <c r="D32">
        <v>76044</v>
      </c>
      <c r="E32">
        <v>614</v>
      </c>
      <c r="F32">
        <v>46691016</v>
      </c>
      <c r="G32">
        <v>542</v>
      </c>
      <c r="H32">
        <v>5475168</v>
      </c>
      <c r="I32" t="s">
        <v>13</v>
      </c>
      <c r="J32">
        <v>450396</v>
      </c>
      <c r="K32">
        <v>374352</v>
      </c>
    </row>
    <row r="33" spans="1:11" x14ac:dyDescent="0.25">
      <c r="A33" s="1">
        <v>45569</v>
      </c>
      <c r="B33" t="s">
        <v>16</v>
      </c>
      <c r="C33" t="s">
        <v>14</v>
      </c>
      <c r="D33">
        <v>75820</v>
      </c>
      <c r="E33">
        <v>820</v>
      </c>
      <c r="F33">
        <v>62172400</v>
      </c>
      <c r="G33">
        <v>769</v>
      </c>
      <c r="H33">
        <v>3866820</v>
      </c>
      <c r="I33" t="s">
        <v>13</v>
      </c>
      <c r="J33">
        <v>243585</v>
      </c>
      <c r="K33">
        <v>167765</v>
      </c>
    </row>
    <row r="34" spans="1:11" x14ac:dyDescent="0.25">
      <c r="A34" s="1">
        <v>45569</v>
      </c>
      <c r="B34" t="s">
        <v>16</v>
      </c>
      <c r="C34" t="s">
        <v>15</v>
      </c>
      <c r="D34">
        <v>84044</v>
      </c>
      <c r="E34">
        <v>561</v>
      </c>
      <c r="F34">
        <v>47148684</v>
      </c>
      <c r="G34">
        <v>526</v>
      </c>
      <c r="H34">
        <v>2941540</v>
      </c>
      <c r="I34" t="s">
        <v>13</v>
      </c>
      <c r="J34">
        <v>443307</v>
      </c>
      <c r="K34">
        <v>359263</v>
      </c>
    </row>
    <row r="35" spans="1:11" x14ac:dyDescent="0.25">
      <c r="A35" s="1">
        <v>45569</v>
      </c>
      <c r="B35" t="s">
        <v>18</v>
      </c>
      <c r="C35" t="s">
        <v>12</v>
      </c>
      <c r="D35">
        <v>45939</v>
      </c>
      <c r="E35">
        <v>629</v>
      </c>
      <c r="F35">
        <v>28895631</v>
      </c>
      <c r="G35">
        <v>589</v>
      </c>
      <c r="H35">
        <v>1837560</v>
      </c>
      <c r="I35" t="s">
        <v>13</v>
      </c>
      <c r="J35">
        <v>218047</v>
      </c>
      <c r="K35">
        <v>172108</v>
      </c>
    </row>
    <row r="36" spans="1:11" x14ac:dyDescent="0.25">
      <c r="A36" s="1">
        <v>45569</v>
      </c>
      <c r="B36" t="s">
        <v>18</v>
      </c>
      <c r="C36" t="s">
        <v>14</v>
      </c>
      <c r="D36">
        <v>35707</v>
      </c>
      <c r="E36">
        <v>878</v>
      </c>
      <c r="F36">
        <v>31350746</v>
      </c>
      <c r="G36">
        <v>822</v>
      </c>
      <c r="H36">
        <v>1999592</v>
      </c>
      <c r="I36" t="s">
        <v>13</v>
      </c>
      <c r="J36">
        <v>337848</v>
      </c>
      <c r="K36">
        <v>302141</v>
      </c>
    </row>
    <row r="37" spans="1:11" x14ac:dyDescent="0.25">
      <c r="A37" s="1">
        <v>45569</v>
      </c>
      <c r="B37" t="s">
        <v>18</v>
      </c>
      <c r="C37" t="s">
        <v>15</v>
      </c>
      <c r="D37">
        <v>75016</v>
      </c>
      <c r="E37">
        <v>502</v>
      </c>
      <c r="F37">
        <v>37658032</v>
      </c>
      <c r="G37">
        <v>434</v>
      </c>
      <c r="H37">
        <v>5101088</v>
      </c>
      <c r="I37" t="s">
        <v>17</v>
      </c>
      <c r="J37">
        <v>221959</v>
      </c>
      <c r="K37">
        <v>146943</v>
      </c>
    </row>
    <row r="38" spans="1:11" x14ac:dyDescent="0.25">
      <c r="A38" s="1">
        <v>45570</v>
      </c>
      <c r="B38" t="s">
        <v>11</v>
      </c>
      <c r="C38" t="s">
        <v>12</v>
      </c>
      <c r="D38">
        <v>23748</v>
      </c>
      <c r="E38">
        <v>696</v>
      </c>
      <c r="F38">
        <v>16528608</v>
      </c>
      <c r="G38">
        <v>625</v>
      </c>
      <c r="H38">
        <v>1686108</v>
      </c>
      <c r="I38" t="s">
        <v>17</v>
      </c>
      <c r="J38">
        <v>365838</v>
      </c>
      <c r="K38">
        <v>342090</v>
      </c>
    </row>
    <row r="39" spans="1:11" x14ac:dyDescent="0.25">
      <c r="A39" s="1">
        <v>45570</v>
      </c>
      <c r="B39" t="s">
        <v>11</v>
      </c>
      <c r="C39" t="s">
        <v>14</v>
      </c>
      <c r="D39">
        <v>81087</v>
      </c>
      <c r="E39">
        <v>845</v>
      </c>
      <c r="F39">
        <v>68518515</v>
      </c>
      <c r="G39">
        <v>792</v>
      </c>
      <c r="H39">
        <v>4297611</v>
      </c>
      <c r="I39" t="s">
        <v>13</v>
      </c>
      <c r="J39">
        <v>268840</v>
      </c>
      <c r="K39">
        <v>187753</v>
      </c>
    </row>
    <row r="40" spans="1:11" x14ac:dyDescent="0.25">
      <c r="A40" s="1">
        <v>45570</v>
      </c>
      <c r="B40" t="s">
        <v>11</v>
      </c>
      <c r="C40" t="s">
        <v>15</v>
      </c>
      <c r="D40">
        <v>74384</v>
      </c>
      <c r="E40">
        <v>561</v>
      </c>
      <c r="F40">
        <v>41729424</v>
      </c>
      <c r="G40">
        <v>483</v>
      </c>
      <c r="H40">
        <v>5801952</v>
      </c>
      <c r="I40" t="s">
        <v>13</v>
      </c>
      <c r="J40">
        <v>239353</v>
      </c>
      <c r="K40">
        <v>164969</v>
      </c>
    </row>
    <row r="41" spans="1:11" x14ac:dyDescent="0.25">
      <c r="A41" s="1">
        <v>45570</v>
      </c>
      <c r="B41" t="s">
        <v>16</v>
      </c>
      <c r="C41" t="s">
        <v>12</v>
      </c>
      <c r="D41">
        <v>72733</v>
      </c>
      <c r="E41">
        <v>638</v>
      </c>
      <c r="F41">
        <v>46403654</v>
      </c>
      <c r="G41">
        <v>607</v>
      </c>
      <c r="H41">
        <v>2254723</v>
      </c>
      <c r="I41" t="s">
        <v>17</v>
      </c>
      <c r="J41">
        <v>267172</v>
      </c>
      <c r="K41">
        <v>194439</v>
      </c>
    </row>
    <row r="42" spans="1:11" x14ac:dyDescent="0.25">
      <c r="A42" s="1">
        <v>45570</v>
      </c>
      <c r="B42" t="s">
        <v>16</v>
      </c>
      <c r="C42" t="s">
        <v>14</v>
      </c>
      <c r="D42">
        <v>46736</v>
      </c>
      <c r="E42">
        <v>751</v>
      </c>
      <c r="F42">
        <v>35098736</v>
      </c>
      <c r="G42">
        <v>720</v>
      </c>
      <c r="H42">
        <v>1448816</v>
      </c>
      <c r="I42" t="s">
        <v>13</v>
      </c>
      <c r="J42">
        <v>312859</v>
      </c>
      <c r="K42">
        <v>266123</v>
      </c>
    </row>
    <row r="43" spans="1:11" x14ac:dyDescent="0.25">
      <c r="A43" s="1">
        <v>45570</v>
      </c>
      <c r="B43" t="s">
        <v>16</v>
      </c>
      <c r="C43" t="s">
        <v>15</v>
      </c>
      <c r="D43">
        <v>20854</v>
      </c>
      <c r="E43">
        <v>595</v>
      </c>
      <c r="F43">
        <v>12408130</v>
      </c>
      <c r="G43">
        <v>533</v>
      </c>
      <c r="H43">
        <v>1292948</v>
      </c>
      <c r="I43" t="s">
        <v>13</v>
      </c>
      <c r="J43">
        <v>457426</v>
      </c>
      <c r="K43">
        <v>436572</v>
      </c>
    </row>
    <row r="44" spans="1:11" x14ac:dyDescent="0.25">
      <c r="A44" s="1">
        <v>45570</v>
      </c>
      <c r="B44" t="s">
        <v>18</v>
      </c>
      <c r="C44" t="s">
        <v>12</v>
      </c>
      <c r="D44">
        <v>70859</v>
      </c>
      <c r="E44">
        <v>689</v>
      </c>
      <c r="F44">
        <v>48821851</v>
      </c>
      <c r="G44">
        <v>628</v>
      </c>
      <c r="H44">
        <v>4322399</v>
      </c>
      <c r="I44" t="s">
        <v>13</v>
      </c>
      <c r="J44">
        <v>357381</v>
      </c>
      <c r="K44">
        <v>286522</v>
      </c>
    </row>
    <row r="45" spans="1:11" x14ac:dyDescent="0.25">
      <c r="A45" s="1">
        <v>45570</v>
      </c>
      <c r="B45" t="s">
        <v>18</v>
      </c>
      <c r="C45" t="s">
        <v>14</v>
      </c>
      <c r="D45">
        <v>83734</v>
      </c>
      <c r="E45">
        <v>817</v>
      </c>
      <c r="F45">
        <v>68410678</v>
      </c>
      <c r="G45">
        <v>777</v>
      </c>
      <c r="H45">
        <v>3349360</v>
      </c>
      <c r="I45" t="s">
        <v>17</v>
      </c>
      <c r="J45">
        <v>309751</v>
      </c>
      <c r="K45">
        <v>226017</v>
      </c>
    </row>
    <row r="46" spans="1:11" x14ac:dyDescent="0.25">
      <c r="A46" s="1">
        <v>45570</v>
      </c>
      <c r="B46" t="s">
        <v>18</v>
      </c>
      <c r="C46" t="s">
        <v>15</v>
      </c>
      <c r="D46">
        <v>32688</v>
      </c>
      <c r="E46">
        <v>537</v>
      </c>
      <c r="F46">
        <v>17553456</v>
      </c>
      <c r="G46">
        <v>484</v>
      </c>
      <c r="H46">
        <v>1732464</v>
      </c>
      <c r="I46" t="s">
        <v>13</v>
      </c>
      <c r="J46">
        <v>306081</v>
      </c>
      <c r="K46">
        <v>273393</v>
      </c>
    </row>
    <row r="47" spans="1:11" x14ac:dyDescent="0.25">
      <c r="A47" s="1">
        <v>45571</v>
      </c>
      <c r="B47" t="s">
        <v>11</v>
      </c>
      <c r="C47" t="s">
        <v>12</v>
      </c>
      <c r="D47">
        <v>54698</v>
      </c>
      <c r="E47">
        <v>615</v>
      </c>
      <c r="F47">
        <v>33639270</v>
      </c>
      <c r="G47">
        <v>553</v>
      </c>
      <c r="H47">
        <v>3391276</v>
      </c>
      <c r="I47" t="s">
        <v>13</v>
      </c>
      <c r="J47">
        <v>286202</v>
      </c>
      <c r="K47">
        <v>231504</v>
      </c>
    </row>
    <row r="48" spans="1:11" x14ac:dyDescent="0.25">
      <c r="A48" s="1">
        <v>45571</v>
      </c>
      <c r="B48" t="s">
        <v>11</v>
      </c>
      <c r="C48" t="s">
        <v>14</v>
      </c>
      <c r="D48">
        <v>71663</v>
      </c>
      <c r="E48">
        <v>842</v>
      </c>
      <c r="F48">
        <v>60340246</v>
      </c>
      <c r="G48">
        <v>810</v>
      </c>
      <c r="H48">
        <v>2293216</v>
      </c>
      <c r="I48" t="s">
        <v>17</v>
      </c>
      <c r="J48">
        <v>333883</v>
      </c>
      <c r="K48">
        <v>262220</v>
      </c>
    </row>
    <row r="49" spans="1:11" x14ac:dyDescent="0.25">
      <c r="A49" s="1">
        <v>45571</v>
      </c>
      <c r="B49" t="s">
        <v>11</v>
      </c>
      <c r="C49" t="s">
        <v>15</v>
      </c>
      <c r="D49">
        <v>54754</v>
      </c>
      <c r="E49">
        <v>518</v>
      </c>
      <c r="F49">
        <v>28362572</v>
      </c>
      <c r="G49">
        <v>469</v>
      </c>
      <c r="H49">
        <v>2682946</v>
      </c>
      <c r="I49" t="s">
        <v>17</v>
      </c>
      <c r="J49">
        <v>333983</v>
      </c>
      <c r="K49">
        <v>279229</v>
      </c>
    </row>
    <row r="50" spans="1:11" x14ac:dyDescent="0.25">
      <c r="A50" s="1">
        <v>45571</v>
      </c>
      <c r="B50" t="s">
        <v>16</v>
      </c>
      <c r="C50" t="s">
        <v>12</v>
      </c>
      <c r="D50">
        <v>28680</v>
      </c>
      <c r="E50">
        <v>632</v>
      </c>
      <c r="F50">
        <v>18125760</v>
      </c>
      <c r="G50">
        <v>563</v>
      </c>
      <c r="H50">
        <v>1978920</v>
      </c>
      <c r="I50" t="s">
        <v>17</v>
      </c>
      <c r="J50">
        <v>271295</v>
      </c>
      <c r="K50">
        <v>242615</v>
      </c>
    </row>
    <row r="51" spans="1:11" x14ac:dyDescent="0.25">
      <c r="A51" s="1">
        <v>45571</v>
      </c>
      <c r="B51" t="s">
        <v>16</v>
      </c>
      <c r="C51" t="s">
        <v>14</v>
      </c>
      <c r="D51">
        <v>31111</v>
      </c>
      <c r="E51">
        <v>878</v>
      </c>
      <c r="F51">
        <v>27315458</v>
      </c>
      <c r="G51">
        <v>838</v>
      </c>
      <c r="H51">
        <v>1244440</v>
      </c>
      <c r="I51" t="s">
        <v>17</v>
      </c>
      <c r="J51">
        <v>208155</v>
      </c>
      <c r="K51">
        <v>177044</v>
      </c>
    </row>
    <row r="52" spans="1:11" x14ac:dyDescent="0.25">
      <c r="A52" s="1">
        <v>45571</v>
      </c>
      <c r="B52" t="s">
        <v>16</v>
      </c>
      <c r="C52" t="s">
        <v>15</v>
      </c>
      <c r="D52">
        <v>59384</v>
      </c>
      <c r="E52">
        <v>549</v>
      </c>
      <c r="F52">
        <v>32601816</v>
      </c>
      <c r="G52">
        <v>497</v>
      </c>
      <c r="H52">
        <v>3087968</v>
      </c>
      <c r="I52" t="s">
        <v>13</v>
      </c>
      <c r="J52">
        <v>484062</v>
      </c>
      <c r="K52">
        <v>424678</v>
      </c>
    </row>
    <row r="53" spans="1:11" x14ac:dyDescent="0.25">
      <c r="A53" s="1">
        <v>45571</v>
      </c>
      <c r="B53" t="s">
        <v>18</v>
      </c>
      <c r="C53" t="s">
        <v>12</v>
      </c>
      <c r="D53">
        <v>80713</v>
      </c>
      <c r="E53">
        <v>698</v>
      </c>
      <c r="F53">
        <v>56337674</v>
      </c>
      <c r="G53">
        <v>662</v>
      </c>
      <c r="H53">
        <v>2905668</v>
      </c>
      <c r="I53" t="s">
        <v>13</v>
      </c>
      <c r="J53">
        <v>320975</v>
      </c>
      <c r="K53">
        <v>240262</v>
      </c>
    </row>
    <row r="54" spans="1:11" x14ac:dyDescent="0.25">
      <c r="A54" s="1">
        <v>45571</v>
      </c>
      <c r="B54" t="s">
        <v>18</v>
      </c>
      <c r="C54" t="s">
        <v>14</v>
      </c>
      <c r="D54">
        <v>36371</v>
      </c>
      <c r="E54">
        <v>809</v>
      </c>
      <c r="F54">
        <v>29424139</v>
      </c>
      <c r="G54">
        <v>731</v>
      </c>
      <c r="H54">
        <v>2836938</v>
      </c>
      <c r="I54" t="s">
        <v>17</v>
      </c>
      <c r="J54">
        <v>333121</v>
      </c>
      <c r="K54">
        <v>296750</v>
      </c>
    </row>
    <row r="55" spans="1:11" x14ac:dyDescent="0.25">
      <c r="A55" s="1">
        <v>45571</v>
      </c>
      <c r="B55" t="s">
        <v>18</v>
      </c>
      <c r="C55" t="s">
        <v>15</v>
      </c>
      <c r="D55">
        <v>40932</v>
      </c>
      <c r="E55">
        <v>536</v>
      </c>
      <c r="F55">
        <v>21939552</v>
      </c>
      <c r="G55">
        <v>475</v>
      </c>
      <c r="H55">
        <v>2496852</v>
      </c>
      <c r="I55" t="s">
        <v>17</v>
      </c>
      <c r="J55">
        <v>392506</v>
      </c>
      <c r="K55">
        <v>351574</v>
      </c>
    </row>
    <row r="56" spans="1:11" x14ac:dyDescent="0.25">
      <c r="A56" s="1">
        <v>45572</v>
      </c>
      <c r="B56" t="s">
        <v>11</v>
      </c>
      <c r="C56" t="s">
        <v>12</v>
      </c>
      <c r="D56">
        <v>63016</v>
      </c>
      <c r="E56">
        <v>698</v>
      </c>
      <c r="F56">
        <v>43985168</v>
      </c>
      <c r="G56">
        <v>650</v>
      </c>
      <c r="H56">
        <v>3024768</v>
      </c>
      <c r="I56" t="s">
        <v>13</v>
      </c>
      <c r="J56">
        <v>215151</v>
      </c>
      <c r="K56">
        <v>152135</v>
      </c>
    </row>
    <row r="57" spans="1:11" x14ac:dyDescent="0.25">
      <c r="A57" s="1">
        <v>45572</v>
      </c>
      <c r="B57" t="s">
        <v>11</v>
      </c>
      <c r="C57" t="s">
        <v>14</v>
      </c>
      <c r="D57">
        <v>86690</v>
      </c>
      <c r="E57">
        <v>897</v>
      </c>
      <c r="F57">
        <v>77760930</v>
      </c>
      <c r="G57">
        <v>844</v>
      </c>
      <c r="H57">
        <v>4594570</v>
      </c>
      <c r="I57" t="s">
        <v>13</v>
      </c>
      <c r="J57">
        <v>474327</v>
      </c>
      <c r="K57">
        <v>387637</v>
      </c>
    </row>
    <row r="58" spans="1:11" x14ac:dyDescent="0.25">
      <c r="A58" s="1">
        <v>45572</v>
      </c>
      <c r="B58" t="s">
        <v>11</v>
      </c>
      <c r="C58" t="s">
        <v>15</v>
      </c>
      <c r="D58">
        <v>32874</v>
      </c>
      <c r="E58">
        <v>571</v>
      </c>
      <c r="F58">
        <v>18771054</v>
      </c>
      <c r="G58">
        <v>506</v>
      </c>
      <c r="H58">
        <v>2136810</v>
      </c>
      <c r="I58" t="s">
        <v>13</v>
      </c>
      <c r="J58">
        <v>384423</v>
      </c>
      <c r="K58">
        <v>351549</v>
      </c>
    </row>
    <row r="59" spans="1:11" x14ac:dyDescent="0.25">
      <c r="A59" s="1">
        <v>45572</v>
      </c>
      <c r="B59" t="s">
        <v>16</v>
      </c>
      <c r="C59" t="s">
        <v>12</v>
      </c>
      <c r="D59">
        <v>68354</v>
      </c>
      <c r="E59">
        <v>688</v>
      </c>
      <c r="F59">
        <v>47027552</v>
      </c>
      <c r="G59">
        <v>624</v>
      </c>
      <c r="H59">
        <v>4374656</v>
      </c>
      <c r="I59" t="s">
        <v>17</v>
      </c>
      <c r="J59">
        <v>333272</v>
      </c>
      <c r="K59">
        <v>264918</v>
      </c>
    </row>
    <row r="60" spans="1:11" x14ac:dyDescent="0.25">
      <c r="A60" s="1">
        <v>45572</v>
      </c>
      <c r="B60" t="s">
        <v>16</v>
      </c>
      <c r="C60" t="s">
        <v>14</v>
      </c>
      <c r="D60">
        <v>88497</v>
      </c>
      <c r="E60">
        <v>877</v>
      </c>
      <c r="F60">
        <v>77611869</v>
      </c>
      <c r="G60">
        <v>802</v>
      </c>
      <c r="H60">
        <v>6637275</v>
      </c>
      <c r="I60" t="s">
        <v>13</v>
      </c>
      <c r="J60">
        <v>319121</v>
      </c>
      <c r="K60">
        <v>230624</v>
      </c>
    </row>
    <row r="61" spans="1:11" x14ac:dyDescent="0.25">
      <c r="A61" s="1">
        <v>45572</v>
      </c>
      <c r="B61" t="s">
        <v>16</v>
      </c>
      <c r="C61" t="s">
        <v>15</v>
      </c>
      <c r="D61">
        <v>22869</v>
      </c>
      <c r="E61">
        <v>534</v>
      </c>
      <c r="F61">
        <v>12212046</v>
      </c>
      <c r="G61">
        <v>489</v>
      </c>
      <c r="H61">
        <v>1029105</v>
      </c>
      <c r="I61" t="s">
        <v>13</v>
      </c>
      <c r="J61">
        <v>312296</v>
      </c>
      <c r="K61">
        <v>289427</v>
      </c>
    </row>
    <row r="62" spans="1:11" x14ac:dyDescent="0.25">
      <c r="A62" s="1">
        <v>45572</v>
      </c>
      <c r="B62" t="s">
        <v>18</v>
      </c>
      <c r="C62" t="s">
        <v>12</v>
      </c>
      <c r="D62">
        <v>58467</v>
      </c>
      <c r="E62">
        <v>632</v>
      </c>
      <c r="F62">
        <v>36951144</v>
      </c>
      <c r="G62">
        <v>589</v>
      </c>
      <c r="H62">
        <v>2514081</v>
      </c>
      <c r="I62" t="s">
        <v>13</v>
      </c>
      <c r="J62">
        <v>335059</v>
      </c>
      <c r="K62">
        <v>276592</v>
      </c>
    </row>
    <row r="63" spans="1:11" x14ac:dyDescent="0.25">
      <c r="A63" s="1">
        <v>45572</v>
      </c>
      <c r="B63" t="s">
        <v>18</v>
      </c>
      <c r="C63" t="s">
        <v>14</v>
      </c>
      <c r="D63">
        <v>42399</v>
      </c>
      <c r="E63">
        <v>885</v>
      </c>
      <c r="F63">
        <v>37523115</v>
      </c>
      <c r="G63">
        <v>849</v>
      </c>
      <c r="H63">
        <v>1526364</v>
      </c>
      <c r="I63" t="s">
        <v>13</v>
      </c>
      <c r="J63">
        <v>286416</v>
      </c>
      <c r="K63">
        <v>244017</v>
      </c>
    </row>
    <row r="64" spans="1:11" x14ac:dyDescent="0.25">
      <c r="A64" s="1">
        <v>45572</v>
      </c>
      <c r="B64" t="s">
        <v>18</v>
      </c>
      <c r="C64" t="s">
        <v>15</v>
      </c>
      <c r="D64">
        <v>64064</v>
      </c>
      <c r="E64">
        <v>547</v>
      </c>
      <c r="F64">
        <v>35043008</v>
      </c>
      <c r="G64">
        <v>506</v>
      </c>
      <c r="H64">
        <v>2626624</v>
      </c>
      <c r="I64" t="s">
        <v>17</v>
      </c>
      <c r="J64">
        <v>307450</v>
      </c>
      <c r="K64">
        <v>243386</v>
      </c>
    </row>
    <row r="65" spans="1:11" x14ac:dyDescent="0.25">
      <c r="A65" s="1">
        <v>45573</v>
      </c>
      <c r="B65" t="s">
        <v>11</v>
      </c>
      <c r="C65" t="s">
        <v>12</v>
      </c>
      <c r="D65">
        <v>65525</v>
      </c>
      <c r="E65">
        <v>621</v>
      </c>
      <c r="F65">
        <v>40691025</v>
      </c>
      <c r="G65">
        <v>546</v>
      </c>
      <c r="H65">
        <v>4914375</v>
      </c>
      <c r="I65" t="s">
        <v>13</v>
      </c>
      <c r="J65">
        <v>316381</v>
      </c>
      <c r="K65">
        <v>250856</v>
      </c>
    </row>
    <row r="66" spans="1:11" x14ac:dyDescent="0.25">
      <c r="A66" s="1">
        <v>45573</v>
      </c>
      <c r="B66" t="s">
        <v>11</v>
      </c>
      <c r="C66" t="s">
        <v>14</v>
      </c>
      <c r="D66">
        <v>67333</v>
      </c>
      <c r="E66">
        <v>858</v>
      </c>
      <c r="F66">
        <v>57771714</v>
      </c>
      <c r="G66">
        <v>821</v>
      </c>
      <c r="H66">
        <v>2491321</v>
      </c>
      <c r="I66" t="s">
        <v>17</v>
      </c>
      <c r="J66">
        <v>350810</v>
      </c>
      <c r="K66">
        <v>283477</v>
      </c>
    </row>
    <row r="67" spans="1:11" x14ac:dyDescent="0.25">
      <c r="A67" s="1">
        <v>45573</v>
      </c>
      <c r="B67" t="s">
        <v>11</v>
      </c>
      <c r="C67" t="s">
        <v>15</v>
      </c>
      <c r="D67">
        <v>69377</v>
      </c>
      <c r="E67">
        <v>520</v>
      </c>
      <c r="F67">
        <v>36076040</v>
      </c>
      <c r="G67">
        <v>461</v>
      </c>
      <c r="H67">
        <v>4093243</v>
      </c>
      <c r="I67" t="s">
        <v>17</v>
      </c>
      <c r="J67">
        <v>336672</v>
      </c>
      <c r="K67">
        <v>267295</v>
      </c>
    </row>
    <row r="68" spans="1:11" x14ac:dyDescent="0.25">
      <c r="A68" s="1">
        <v>45573</v>
      </c>
      <c r="B68" t="s">
        <v>16</v>
      </c>
      <c r="C68" t="s">
        <v>12</v>
      </c>
      <c r="D68">
        <v>60764</v>
      </c>
      <c r="E68">
        <v>647</v>
      </c>
      <c r="F68">
        <v>39314308</v>
      </c>
      <c r="G68">
        <v>599</v>
      </c>
      <c r="H68">
        <v>2916672</v>
      </c>
      <c r="I68" t="s">
        <v>13</v>
      </c>
      <c r="J68">
        <v>302946</v>
      </c>
      <c r="K68">
        <v>242182</v>
      </c>
    </row>
    <row r="69" spans="1:11" x14ac:dyDescent="0.25">
      <c r="A69" s="1">
        <v>45573</v>
      </c>
      <c r="B69" t="s">
        <v>16</v>
      </c>
      <c r="C69" t="s">
        <v>14</v>
      </c>
      <c r="D69">
        <v>76491</v>
      </c>
      <c r="E69">
        <v>795</v>
      </c>
      <c r="F69">
        <v>60810345</v>
      </c>
      <c r="G69">
        <v>760</v>
      </c>
      <c r="H69">
        <v>2677185</v>
      </c>
      <c r="I69" t="s">
        <v>13</v>
      </c>
      <c r="J69">
        <v>378274</v>
      </c>
      <c r="K69">
        <v>301783</v>
      </c>
    </row>
    <row r="70" spans="1:11" x14ac:dyDescent="0.25">
      <c r="A70" s="1">
        <v>45573</v>
      </c>
      <c r="B70" t="s">
        <v>16</v>
      </c>
      <c r="C70" t="s">
        <v>15</v>
      </c>
      <c r="D70">
        <v>83208</v>
      </c>
      <c r="E70">
        <v>536</v>
      </c>
      <c r="F70">
        <v>44599488</v>
      </c>
      <c r="G70">
        <v>483</v>
      </c>
      <c r="H70">
        <v>4410024</v>
      </c>
      <c r="I70" t="s">
        <v>17</v>
      </c>
      <c r="J70">
        <v>465564</v>
      </c>
      <c r="K70">
        <v>382356</v>
      </c>
    </row>
    <row r="71" spans="1:11" x14ac:dyDescent="0.25">
      <c r="A71" s="1">
        <v>45573</v>
      </c>
      <c r="B71" t="s">
        <v>18</v>
      </c>
      <c r="C71" t="s">
        <v>12</v>
      </c>
      <c r="D71">
        <v>20301</v>
      </c>
      <c r="E71">
        <v>652</v>
      </c>
      <c r="F71">
        <v>13236252</v>
      </c>
      <c r="G71">
        <v>592</v>
      </c>
      <c r="H71">
        <v>1218060</v>
      </c>
      <c r="I71" t="s">
        <v>17</v>
      </c>
      <c r="J71">
        <v>324019</v>
      </c>
      <c r="K71">
        <v>303718</v>
      </c>
    </row>
    <row r="72" spans="1:11" x14ac:dyDescent="0.25">
      <c r="A72" s="1">
        <v>45573</v>
      </c>
      <c r="B72" t="s">
        <v>18</v>
      </c>
      <c r="C72" t="s">
        <v>14</v>
      </c>
      <c r="D72">
        <v>30492</v>
      </c>
      <c r="E72">
        <v>816</v>
      </c>
      <c r="F72">
        <v>24881472</v>
      </c>
      <c r="G72">
        <v>769</v>
      </c>
      <c r="H72">
        <v>1433124</v>
      </c>
      <c r="I72" t="s">
        <v>13</v>
      </c>
      <c r="J72">
        <v>365656</v>
      </c>
      <c r="K72">
        <v>335164</v>
      </c>
    </row>
    <row r="73" spans="1:11" x14ac:dyDescent="0.25">
      <c r="A73" s="1">
        <v>45573</v>
      </c>
      <c r="B73" t="s">
        <v>18</v>
      </c>
      <c r="C73" t="s">
        <v>15</v>
      </c>
      <c r="D73">
        <v>43093</v>
      </c>
      <c r="E73">
        <v>557</v>
      </c>
      <c r="F73">
        <v>24002801</v>
      </c>
      <c r="G73">
        <v>525</v>
      </c>
      <c r="H73">
        <v>1378976</v>
      </c>
      <c r="I73" t="s">
        <v>13</v>
      </c>
      <c r="J73">
        <v>236631</v>
      </c>
      <c r="K73">
        <v>193538</v>
      </c>
    </row>
    <row r="74" spans="1:11" x14ac:dyDescent="0.25">
      <c r="A74" s="1">
        <v>45574</v>
      </c>
      <c r="B74" t="s">
        <v>11</v>
      </c>
      <c r="C74" t="s">
        <v>12</v>
      </c>
      <c r="D74">
        <v>24014</v>
      </c>
      <c r="E74">
        <v>685</v>
      </c>
      <c r="F74">
        <v>16449590</v>
      </c>
      <c r="G74">
        <v>633</v>
      </c>
      <c r="H74">
        <v>1248728</v>
      </c>
      <c r="I74" t="s">
        <v>17</v>
      </c>
      <c r="J74">
        <v>497921</v>
      </c>
      <c r="K74">
        <v>473907</v>
      </c>
    </row>
    <row r="75" spans="1:11" x14ac:dyDescent="0.25">
      <c r="A75" s="1">
        <v>45574</v>
      </c>
      <c r="B75" t="s">
        <v>11</v>
      </c>
      <c r="C75" t="s">
        <v>14</v>
      </c>
      <c r="D75">
        <v>30729</v>
      </c>
      <c r="E75">
        <v>879</v>
      </c>
      <c r="F75">
        <v>27010791</v>
      </c>
      <c r="G75">
        <v>824</v>
      </c>
      <c r="H75">
        <v>1690095</v>
      </c>
      <c r="I75" t="s">
        <v>13</v>
      </c>
      <c r="J75">
        <v>397392</v>
      </c>
      <c r="K75">
        <v>366663</v>
      </c>
    </row>
    <row r="76" spans="1:11" x14ac:dyDescent="0.25">
      <c r="A76" s="1">
        <v>45574</v>
      </c>
      <c r="B76" t="s">
        <v>11</v>
      </c>
      <c r="C76" t="s">
        <v>15</v>
      </c>
      <c r="D76">
        <v>74748</v>
      </c>
      <c r="E76">
        <v>541</v>
      </c>
      <c r="F76">
        <v>40438668</v>
      </c>
      <c r="G76">
        <v>486</v>
      </c>
      <c r="H76">
        <v>4111140</v>
      </c>
      <c r="I76" t="s">
        <v>13</v>
      </c>
      <c r="J76">
        <v>435362</v>
      </c>
      <c r="K76">
        <v>360614</v>
      </c>
    </row>
    <row r="77" spans="1:11" x14ac:dyDescent="0.25">
      <c r="A77" s="1">
        <v>45574</v>
      </c>
      <c r="B77" t="s">
        <v>16</v>
      </c>
      <c r="C77" t="s">
        <v>12</v>
      </c>
      <c r="D77">
        <v>49592</v>
      </c>
      <c r="E77">
        <v>623</v>
      </c>
      <c r="F77">
        <v>30895816</v>
      </c>
      <c r="G77">
        <v>581</v>
      </c>
      <c r="H77">
        <v>2082864</v>
      </c>
      <c r="I77" t="s">
        <v>13</v>
      </c>
      <c r="J77">
        <v>419963</v>
      </c>
      <c r="K77">
        <v>370371</v>
      </c>
    </row>
    <row r="78" spans="1:11" x14ac:dyDescent="0.25">
      <c r="A78" s="1">
        <v>45574</v>
      </c>
      <c r="B78" t="s">
        <v>16</v>
      </c>
      <c r="C78" t="s">
        <v>14</v>
      </c>
      <c r="D78">
        <v>22368</v>
      </c>
      <c r="E78">
        <v>757</v>
      </c>
      <c r="F78">
        <v>16932576</v>
      </c>
      <c r="G78">
        <v>682</v>
      </c>
      <c r="H78">
        <v>1677600</v>
      </c>
      <c r="I78" t="s">
        <v>13</v>
      </c>
      <c r="J78">
        <v>270031</v>
      </c>
      <c r="K78">
        <v>247663</v>
      </c>
    </row>
    <row r="79" spans="1:11" x14ac:dyDescent="0.25">
      <c r="A79" s="1">
        <v>45574</v>
      </c>
      <c r="B79" t="s">
        <v>16</v>
      </c>
      <c r="C79" t="s">
        <v>15</v>
      </c>
      <c r="D79">
        <v>75766</v>
      </c>
      <c r="E79">
        <v>514</v>
      </c>
      <c r="F79">
        <v>38943724</v>
      </c>
      <c r="G79">
        <v>457</v>
      </c>
      <c r="H79">
        <v>4318662</v>
      </c>
      <c r="I79" t="s">
        <v>13</v>
      </c>
      <c r="J79">
        <v>232097</v>
      </c>
      <c r="K79">
        <v>156331</v>
      </c>
    </row>
    <row r="80" spans="1:11" x14ac:dyDescent="0.25">
      <c r="A80" s="1">
        <v>45574</v>
      </c>
      <c r="B80" t="s">
        <v>18</v>
      </c>
      <c r="C80" t="s">
        <v>12</v>
      </c>
      <c r="D80">
        <v>30966</v>
      </c>
      <c r="E80">
        <v>662</v>
      </c>
      <c r="F80">
        <v>20499492</v>
      </c>
      <c r="G80">
        <v>611</v>
      </c>
      <c r="H80">
        <v>1579266</v>
      </c>
      <c r="I80" t="s">
        <v>17</v>
      </c>
      <c r="J80">
        <v>318834</v>
      </c>
      <c r="K80">
        <v>287868</v>
      </c>
    </row>
    <row r="81" spans="1:11" x14ac:dyDescent="0.25">
      <c r="A81" s="1">
        <v>45574</v>
      </c>
      <c r="B81" t="s">
        <v>18</v>
      </c>
      <c r="C81" t="s">
        <v>14</v>
      </c>
      <c r="D81">
        <v>72921</v>
      </c>
      <c r="E81">
        <v>812</v>
      </c>
      <c r="F81">
        <v>59211852</v>
      </c>
      <c r="G81">
        <v>761</v>
      </c>
      <c r="H81">
        <v>3718971</v>
      </c>
      <c r="I81" t="s">
        <v>13</v>
      </c>
      <c r="J81">
        <v>255609</v>
      </c>
      <c r="K81">
        <v>182688</v>
      </c>
    </row>
    <row r="82" spans="1:11" x14ac:dyDescent="0.25">
      <c r="A82" s="1">
        <v>45574</v>
      </c>
      <c r="B82" t="s">
        <v>18</v>
      </c>
      <c r="C82" t="s">
        <v>15</v>
      </c>
      <c r="D82">
        <v>76661</v>
      </c>
      <c r="E82">
        <v>548</v>
      </c>
      <c r="F82">
        <v>42010228</v>
      </c>
      <c r="G82">
        <v>477</v>
      </c>
      <c r="H82">
        <v>5442931</v>
      </c>
      <c r="I82" t="s">
        <v>13</v>
      </c>
      <c r="J82">
        <v>384078</v>
      </c>
      <c r="K82">
        <v>307417</v>
      </c>
    </row>
    <row r="83" spans="1:11" x14ac:dyDescent="0.25">
      <c r="A83" s="1">
        <v>45575</v>
      </c>
      <c r="B83" t="s">
        <v>11</v>
      </c>
      <c r="C83" t="s">
        <v>12</v>
      </c>
      <c r="D83">
        <v>35338</v>
      </c>
      <c r="E83">
        <v>659</v>
      </c>
      <c r="F83">
        <v>23287742</v>
      </c>
      <c r="G83">
        <v>593</v>
      </c>
      <c r="H83">
        <v>2332308</v>
      </c>
      <c r="I83" t="s">
        <v>13</v>
      </c>
      <c r="J83">
        <v>313632</v>
      </c>
      <c r="K83">
        <v>278294</v>
      </c>
    </row>
    <row r="84" spans="1:11" x14ac:dyDescent="0.25">
      <c r="A84" s="1">
        <v>45575</v>
      </c>
      <c r="B84" t="s">
        <v>11</v>
      </c>
      <c r="C84" t="s">
        <v>14</v>
      </c>
      <c r="D84">
        <v>39508</v>
      </c>
      <c r="E84">
        <v>809</v>
      </c>
      <c r="F84">
        <v>31961972</v>
      </c>
      <c r="G84">
        <v>736</v>
      </c>
      <c r="H84">
        <v>2884084</v>
      </c>
      <c r="I84" t="s">
        <v>17</v>
      </c>
      <c r="J84">
        <v>379819</v>
      </c>
      <c r="K84">
        <v>340311</v>
      </c>
    </row>
    <row r="85" spans="1:11" x14ac:dyDescent="0.25">
      <c r="A85" s="1">
        <v>45575</v>
      </c>
      <c r="B85" t="s">
        <v>11</v>
      </c>
      <c r="C85" t="s">
        <v>15</v>
      </c>
      <c r="D85">
        <v>74021</v>
      </c>
      <c r="E85">
        <v>595</v>
      </c>
      <c r="F85">
        <v>44042495</v>
      </c>
      <c r="G85">
        <v>536</v>
      </c>
      <c r="H85">
        <v>4367239</v>
      </c>
      <c r="I85" t="s">
        <v>17</v>
      </c>
      <c r="J85">
        <v>411810</v>
      </c>
      <c r="K85">
        <v>337789</v>
      </c>
    </row>
    <row r="86" spans="1:11" x14ac:dyDescent="0.25">
      <c r="A86" s="1">
        <v>45575</v>
      </c>
      <c r="B86" t="s">
        <v>16</v>
      </c>
      <c r="C86" t="s">
        <v>12</v>
      </c>
      <c r="D86">
        <v>37019</v>
      </c>
      <c r="E86">
        <v>629</v>
      </c>
      <c r="F86">
        <v>23284951</v>
      </c>
      <c r="G86">
        <v>581</v>
      </c>
      <c r="H86">
        <v>1776912</v>
      </c>
      <c r="I86" t="s">
        <v>13</v>
      </c>
      <c r="J86">
        <v>286672</v>
      </c>
      <c r="K86">
        <v>249653</v>
      </c>
    </row>
    <row r="87" spans="1:11" x14ac:dyDescent="0.25">
      <c r="A87" s="1">
        <v>45575</v>
      </c>
      <c r="B87" t="s">
        <v>16</v>
      </c>
      <c r="C87" t="s">
        <v>14</v>
      </c>
      <c r="D87">
        <v>48251</v>
      </c>
      <c r="E87">
        <v>807</v>
      </c>
      <c r="F87">
        <v>38938557</v>
      </c>
      <c r="G87">
        <v>752</v>
      </c>
      <c r="H87">
        <v>2653805</v>
      </c>
      <c r="I87" t="s">
        <v>17</v>
      </c>
      <c r="J87">
        <v>232217</v>
      </c>
      <c r="K87">
        <v>183966</v>
      </c>
    </row>
    <row r="88" spans="1:11" x14ac:dyDescent="0.25">
      <c r="A88" s="1">
        <v>45575</v>
      </c>
      <c r="B88" t="s">
        <v>16</v>
      </c>
      <c r="C88" t="s">
        <v>15</v>
      </c>
      <c r="D88">
        <v>25949</v>
      </c>
      <c r="E88">
        <v>522</v>
      </c>
      <c r="F88">
        <v>13545378</v>
      </c>
      <c r="G88">
        <v>484</v>
      </c>
      <c r="H88">
        <v>986062</v>
      </c>
      <c r="I88" t="s">
        <v>17</v>
      </c>
      <c r="J88">
        <v>300235</v>
      </c>
      <c r="K88">
        <v>274286</v>
      </c>
    </row>
    <row r="89" spans="1:11" x14ac:dyDescent="0.25">
      <c r="A89" s="1">
        <v>45575</v>
      </c>
      <c r="B89" t="s">
        <v>18</v>
      </c>
      <c r="C89" t="s">
        <v>12</v>
      </c>
      <c r="D89">
        <v>86617</v>
      </c>
      <c r="E89">
        <v>600</v>
      </c>
      <c r="F89">
        <v>51970200</v>
      </c>
      <c r="G89">
        <v>524</v>
      </c>
      <c r="H89">
        <v>6582892</v>
      </c>
      <c r="I89" t="s">
        <v>13</v>
      </c>
      <c r="J89">
        <v>377247</v>
      </c>
      <c r="K89">
        <v>290630</v>
      </c>
    </row>
    <row r="90" spans="1:11" x14ac:dyDescent="0.25">
      <c r="A90" s="1">
        <v>45575</v>
      </c>
      <c r="B90" t="s">
        <v>18</v>
      </c>
      <c r="C90" t="s">
        <v>14</v>
      </c>
      <c r="D90">
        <v>25237</v>
      </c>
      <c r="E90">
        <v>797</v>
      </c>
      <c r="F90">
        <v>20113889</v>
      </c>
      <c r="G90">
        <v>743</v>
      </c>
      <c r="H90">
        <v>1362798</v>
      </c>
      <c r="I90" t="s">
        <v>17</v>
      </c>
      <c r="J90">
        <v>376615</v>
      </c>
      <c r="K90">
        <v>351378</v>
      </c>
    </row>
    <row r="91" spans="1:11" x14ac:dyDescent="0.25">
      <c r="A91" s="1">
        <v>45575</v>
      </c>
      <c r="B91" t="s">
        <v>18</v>
      </c>
      <c r="C91" t="s">
        <v>15</v>
      </c>
      <c r="D91">
        <v>23343</v>
      </c>
      <c r="E91">
        <v>560</v>
      </c>
      <c r="F91">
        <v>13072080</v>
      </c>
      <c r="G91">
        <v>492</v>
      </c>
      <c r="H91">
        <v>1587324</v>
      </c>
      <c r="I91" t="s">
        <v>17</v>
      </c>
      <c r="J91">
        <v>229375</v>
      </c>
      <c r="K91">
        <v>206032</v>
      </c>
    </row>
    <row r="92" spans="1:11" x14ac:dyDescent="0.25">
      <c r="A92" s="1">
        <v>45576</v>
      </c>
      <c r="B92" t="s">
        <v>11</v>
      </c>
      <c r="C92" t="s">
        <v>12</v>
      </c>
      <c r="D92">
        <v>36964</v>
      </c>
      <c r="E92">
        <v>621</v>
      </c>
      <c r="F92">
        <v>22954644</v>
      </c>
      <c r="G92">
        <v>563</v>
      </c>
      <c r="H92">
        <v>2143912</v>
      </c>
      <c r="I92" t="s">
        <v>17</v>
      </c>
      <c r="J92">
        <v>390710</v>
      </c>
      <c r="K92">
        <v>353746</v>
      </c>
    </row>
    <row r="93" spans="1:11" x14ac:dyDescent="0.25">
      <c r="A93" s="1">
        <v>45576</v>
      </c>
      <c r="B93" t="s">
        <v>11</v>
      </c>
      <c r="C93" t="s">
        <v>14</v>
      </c>
      <c r="D93">
        <v>87215</v>
      </c>
      <c r="E93">
        <v>835</v>
      </c>
      <c r="F93">
        <v>72824525</v>
      </c>
      <c r="G93">
        <v>777</v>
      </c>
      <c r="H93">
        <v>5058470</v>
      </c>
      <c r="I93" t="s">
        <v>17</v>
      </c>
      <c r="J93">
        <v>209435</v>
      </c>
      <c r="K93">
        <v>122220</v>
      </c>
    </row>
    <row r="94" spans="1:11" x14ac:dyDescent="0.25">
      <c r="A94" s="1">
        <v>45576</v>
      </c>
      <c r="B94" t="s">
        <v>11</v>
      </c>
      <c r="C94" t="s">
        <v>15</v>
      </c>
      <c r="D94">
        <v>64078</v>
      </c>
      <c r="E94">
        <v>593</v>
      </c>
      <c r="F94">
        <v>37998254</v>
      </c>
      <c r="G94">
        <v>518</v>
      </c>
      <c r="H94">
        <v>4805850</v>
      </c>
      <c r="I94" t="s">
        <v>13</v>
      </c>
      <c r="J94">
        <v>278781</v>
      </c>
      <c r="K94">
        <v>214703</v>
      </c>
    </row>
    <row r="95" spans="1:11" x14ac:dyDescent="0.25">
      <c r="A95" s="1">
        <v>45576</v>
      </c>
      <c r="B95" t="s">
        <v>16</v>
      </c>
      <c r="C95" t="s">
        <v>12</v>
      </c>
      <c r="D95">
        <v>49124</v>
      </c>
      <c r="E95">
        <v>675</v>
      </c>
      <c r="F95">
        <v>33158700</v>
      </c>
      <c r="G95">
        <v>630</v>
      </c>
      <c r="H95">
        <v>2210580</v>
      </c>
      <c r="I95" t="s">
        <v>13</v>
      </c>
      <c r="J95">
        <v>439833</v>
      </c>
      <c r="K95">
        <v>390709</v>
      </c>
    </row>
    <row r="96" spans="1:11" x14ac:dyDescent="0.25">
      <c r="A96" s="1">
        <v>45576</v>
      </c>
      <c r="B96" t="s">
        <v>16</v>
      </c>
      <c r="C96" t="s">
        <v>14</v>
      </c>
      <c r="D96">
        <v>55247</v>
      </c>
      <c r="E96">
        <v>834</v>
      </c>
      <c r="F96">
        <v>46075998</v>
      </c>
      <c r="G96">
        <v>766</v>
      </c>
      <c r="H96">
        <v>3756796</v>
      </c>
      <c r="I96" t="s">
        <v>17</v>
      </c>
      <c r="J96">
        <v>259101</v>
      </c>
      <c r="K96">
        <v>203854</v>
      </c>
    </row>
    <row r="97" spans="1:11" x14ac:dyDescent="0.25">
      <c r="A97" s="1">
        <v>45576</v>
      </c>
      <c r="B97" t="s">
        <v>16</v>
      </c>
      <c r="C97" t="s">
        <v>15</v>
      </c>
      <c r="D97">
        <v>46646</v>
      </c>
      <c r="E97">
        <v>509</v>
      </c>
      <c r="F97">
        <v>23742814</v>
      </c>
      <c r="G97">
        <v>475</v>
      </c>
      <c r="H97">
        <v>1585964</v>
      </c>
      <c r="I97" t="s">
        <v>13</v>
      </c>
      <c r="J97">
        <v>268385</v>
      </c>
      <c r="K97">
        <v>221739</v>
      </c>
    </row>
    <row r="98" spans="1:11" x14ac:dyDescent="0.25">
      <c r="A98" s="1">
        <v>45576</v>
      </c>
      <c r="B98" t="s">
        <v>18</v>
      </c>
      <c r="C98" t="s">
        <v>12</v>
      </c>
      <c r="D98">
        <v>60158</v>
      </c>
      <c r="E98">
        <v>609</v>
      </c>
      <c r="F98">
        <v>36636222</v>
      </c>
      <c r="G98">
        <v>561</v>
      </c>
      <c r="H98">
        <v>2887584</v>
      </c>
      <c r="I98" t="s">
        <v>17</v>
      </c>
      <c r="J98">
        <v>471967</v>
      </c>
      <c r="K98">
        <v>411809</v>
      </c>
    </row>
    <row r="99" spans="1:11" x14ac:dyDescent="0.25">
      <c r="A99" s="1">
        <v>45576</v>
      </c>
      <c r="B99" t="s">
        <v>18</v>
      </c>
      <c r="C99" t="s">
        <v>14</v>
      </c>
      <c r="D99">
        <v>61975</v>
      </c>
      <c r="E99">
        <v>818</v>
      </c>
      <c r="F99">
        <v>50695550</v>
      </c>
      <c r="G99">
        <v>744</v>
      </c>
      <c r="H99">
        <v>4586150</v>
      </c>
      <c r="I99" t="s">
        <v>13</v>
      </c>
      <c r="J99">
        <v>227663</v>
      </c>
      <c r="K99">
        <v>165688</v>
      </c>
    </row>
    <row r="100" spans="1:11" x14ac:dyDescent="0.25">
      <c r="A100" s="1">
        <v>45576</v>
      </c>
      <c r="B100" t="s">
        <v>18</v>
      </c>
      <c r="C100" t="s">
        <v>15</v>
      </c>
      <c r="D100">
        <v>77679</v>
      </c>
      <c r="E100">
        <v>501</v>
      </c>
      <c r="F100">
        <v>38917179</v>
      </c>
      <c r="G100">
        <v>423</v>
      </c>
      <c r="H100">
        <v>6058962</v>
      </c>
      <c r="I100" t="s">
        <v>13</v>
      </c>
      <c r="J100">
        <v>249115</v>
      </c>
      <c r="K100">
        <v>171436</v>
      </c>
    </row>
    <row r="101" spans="1:11" x14ac:dyDescent="0.25">
      <c r="A101" s="1">
        <v>45577</v>
      </c>
      <c r="B101" t="s">
        <v>11</v>
      </c>
      <c r="C101" t="s">
        <v>12</v>
      </c>
      <c r="D101">
        <v>80890</v>
      </c>
      <c r="E101">
        <v>683</v>
      </c>
      <c r="F101">
        <v>55247870</v>
      </c>
      <c r="G101">
        <v>630</v>
      </c>
      <c r="H101">
        <v>4287170</v>
      </c>
      <c r="I101" t="s">
        <v>13</v>
      </c>
      <c r="J101">
        <v>390347</v>
      </c>
      <c r="K101">
        <v>309457</v>
      </c>
    </row>
    <row r="102" spans="1:11" x14ac:dyDescent="0.25">
      <c r="A102" s="1">
        <v>45577</v>
      </c>
      <c r="B102" t="s">
        <v>11</v>
      </c>
      <c r="C102" t="s">
        <v>14</v>
      </c>
      <c r="D102">
        <v>31938</v>
      </c>
      <c r="E102">
        <v>873</v>
      </c>
      <c r="F102">
        <v>27881874</v>
      </c>
      <c r="G102">
        <v>811</v>
      </c>
      <c r="H102">
        <v>1980156</v>
      </c>
      <c r="I102" t="s">
        <v>17</v>
      </c>
      <c r="J102">
        <v>204000</v>
      </c>
      <c r="K102">
        <v>172062</v>
      </c>
    </row>
    <row r="103" spans="1:11" x14ac:dyDescent="0.25">
      <c r="A103" s="1">
        <v>45577</v>
      </c>
      <c r="B103" t="s">
        <v>11</v>
      </c>
      <c r="C103" t="s">
        <v>15</v>
      </c>
      <c r="D103">
        <v>58304</v>
      </c>
      <c r="E103">
        <v>539</v>
      </c>
      <c r="F103">
        <v>31425856</v>
      </c>
      <c r="G103">
        <v>500</v>
      </c>
      <c r="H103">
        <v>2273856</v>
      </c>
      <c r="I103" t="s">
        <v>13</v>
      </c>
      <c r="J103">
        <v>282986</v>
      </c>
      <c r="K103">
        <v>224682</v>
      </c>
    </row>
    <row r="104" spans="1:11" x14ac:dyDescent="0.25">
      <c r="A104" s="1">
        <v>45577</v>
      </c>
      <c r="B104" t="s">
        <v>16</v>
      </c>
      <c r="C104" t="s">
        <v>12</v>
      </c>
      <c r="D104">
        <v>40764</v>
      </c>
      <c r="E104">
        <v>612</v>
      </c>
      <c r="F104">
        <v>24947568</v>
      </c>
      <c r="G104">
        <v>571</v>
      </c>
      <c r="H104">
        <v>1671324</v>
      </c>
      <c r="I104" t="s">
        <v>13</v>
      </c>
      <c r="J104">
        <v>465517</v>
      </c>
      <c r="K104">
        <v>424753</v>
      </c>
    </row>
    <row r="105" spans="1:11" x14ac:dyDescent="0.25">
      <c r="A105" s="1">
        <v>45577</v>
      </c>
      <c r="B105" t="s">
        <v>16</v>
      </c>
      <c r="C105" t="s">
        <v>14</v>
      </c>
      <c r="D105">
        <v>47350</v>
      </c>
      <c r="E105">
        <v>830</v>
      </c>
      <c r="F105">
        <v>39300500</v>
      </c>
      <c r="G105">
        <v>775</v>
      </c>
      <c r="H105">
        <v>2604250</v>
      </c>
      <c r="I105" t="s">
        <v>17</v>
      </c>
      <c r="J105">
        <v>225351</v>
      </c>
      <c r="K105">
        <v>178001</v>
      </c>
    </row>
    <row r="106" spans="1:11" x14ac:dyDescent="0.25">
      <c r="A106" s="1">
        <v>45577</v>
      </c>
      <c r="B106" t="s">
        <v>16</v>
      </c>
      <c r="C106" t="s">
        <v>15</v>
      </c>
      <c r="D106">
        <v>35305</v>
      </c>
      <c r="E106">
        <v>589</v>
      </c>
      <c r="F106">
        <v>20794645</v>
      </c>
      <c r="G106">
        <v>526</v>
      </c>
      <c r="H106">
        <v>2224215</v>
      </c>
      <c r="I106" t="s">
        <v>13</v>
      </c>
      <c r="J106">
        <v>482502</v>
      </c>
      <c r="K106">
        <v>447197</v>
      </c>
    </row>
    <row r="107" spans="1:11" x14ac:dyDescent="0.25">
      <c r="A107" s="1">
        <v>45577</v>
      </c>
      <c r="B107" t="s">
        <v>18</v>
      </c>
      <c r="C107" t="s">
        <v>12</v>
      </c>
      <c r="D107">
        <v>58513</v>
      </c>
      <c r="E107">
        <v>674</v>
      </c>
      <c r="F107">
        <v>39437762</v>
      </c>
      <c r="G107">
        <v>616</v>
      </c>
      <c r="H107">
        <v>3393754</v>
      </c>
      <c r="I107" t="s">
        <v>13</v>
      </c>
      <c r="J107">
        <v>207543</v>
      </c>
      <c r="K107">
        <v>149030</v>
      </c>
    </row>
    <row r="108" spans="1:11" x14ac:dyDescent="0.25">
      <c r="A108" s="1">
        <v>45577</v>
      </c>
      <c r="B108" t="s">
        <v>18</v>
      </c>
      <c r="C108" t="s">
        <v>14</v>
      </c>
      <c r="D108">
        <v>53496</v>
      </c>
      <c r="E108">
        <v>770</v>
      </c>
      <c r="F108">
        <v>41191920</v>
      </c>
      <c r="G108">
        <v>705</v>
      </c>
      <c r="H108">
        <v>3477240</v>
      </c>
      <c r="I108" t="s">
        <v>17</v>
      </c>
      <c r="J108">
        <v>238756</v>
      </c>
      <c r="K108">
        <v>185260</v>
      </c>
    </row>
    <row r="109" spans="1:11" x14ac:dyDescent="0.25">
      <c r="A109" s="1">
        <v>45577</v>
      </c>
      <c r="B109" t="s">
        <v>18</v>
      </c>
      <c r="C109" t="s">
        <v>15</v>
      </c>
      <c r="D109">
        <v>55735</v>
      </c>
      <c r="E109">
        <v>563</v>
      </c>
      <c r="F109">
        <v>31378805</v>
      </c>
      <c r="G109">
        <v>499</v>
      </c>
      <c r="H109">
        <v>3567040</v>
      </c>
      <c r="I109" t="s">
        <v>17</v>
      </c>
      <c r="J109">
        <v>314352</v>
      </c>
      <c r="K109">
        <v>258617</v>
      </c>
    </row>
    <row r="110" spans="1:11" x14ac:dyDescent="0.25">
      <c r="A110" s="1">
        <v>45578</v>
      </c>
      <c r="B110" t="s">
        <v>11</v>
      </c>
      <c r="C110" t="s">
        <v>12</v>
      </c>
      <c r="D110">
        <v>37955</v>
      </c>
      <c r="E110">
        <v>681</v>
      </c>
      <c r="F110">
        <v>25847355</v>
      </c>
      <c r="G110">
        <v>603</v>
      </c>
      <c r="H110">
        <v>2960490</v>
      </c>
      <c r="I110" t="s">
        <v>13</v>
      </c>
      <c r="J110">
        <v>396582</v>
      </c>
      <c r="K110">
        <v>358627</v>
      </c>
    </row>
    <row r="111" spans="1:11" x14ac:dyDescent="0.25">
      <c r="A111" s="1">
        <v>45578</v>
      </c>
      <c r="B111" t="s">
        <v>11</v>
      </c>
      <c r="C111" t="s">
        <v>14</v>
      </c>
      <c r="D111">
        <v>79031</v>
      </c>
      <c r="E111">
        <v>786</v>
      </c>
      <c r="F111">
        <v>62118366</v>
      </c>
      <c r="G111">
        <v>745</v>
      </c>
      <c r="H111">
        <v>3240271</v>
      </c>
      <c r="I111" t="s">
        <v>17</v>
      </c>
      <c r="J111">
        <v>367280</v>
      </c>
      <c r="K111">
        <v>288249</v>
      </c>
    </row>
    <row r="112" spans="1:11" x14ac:dyDescent="0.25">
      <c r="A112" s="1">
        <v>45578</v>
      </c>
      <c r="B112" t="s">
        <v>11</v>
      </c>
      <c r="C112" t="s">
        <v>15</v>
      </c>
      <c r="D112">
        <v>63286</v>
      </c>
      <c r="E112">
        <v>588</v>
      </c>
      <c r="F112">
        <v>37212168</v>
      </c>
      <c r="G112">
        <v>524</v>
      </c>
      <c r="H112">
        <v>4050304</v>
      </c>
      <c r="I112" t="s">
        <v>17</v>
      </c>
      <c r="J112">
        <v>386141</v>
      </c>
      <c r="K112">
        <v>322855</v>
      </c>
    </row>
    <row r="113" spans="1:11" x14ac:dyDescent="0.25">
      <c r="A113" s="1">
        <v>45578</v>
      </c>
      <c r="B113" t="s">
        <v>16</v>
      </c>
      <c r="C113" t="s">
        <v>12</v>
      </c>
      <c r="D113">
        <v>34397</v>
      </c>
      <c r="E113">
        <v>683</v>
      </c>
      <c r="F113">
        <v>23493151</v>
      </c>
      <c r="G113">
        <v>606</v>
      </c>
      <c r="H113">
        <v>2648569</v>
      </c>
      <c r="I113" t="s">
        <v>17</v>
      </c>
      <c r="J113">
        <v>319180</v>
      </c>
      <c r="K113">
        <v>284783</v>
      </c>
    </row>
    <row r="114" spans="1:11" x14ac:dyDescent="0.25">
      <c r="A114" s="1">
        <v>45578</v>
      </c>
      <c r="B114" t="s">
        <v>16</v>
      </c>
      <c r="C114" t="s">
        <v>14</v>
      </c>
      <c r="D114">
        <v>59954</v>
      </c>
      <c r="E114">
        <v>849</v>
      </c>
      <c r="F114">
        <v>50900946</v>
      </c>
      <c r="G114">
        <v>808</v>
      </c>
      <c r="H114">
        <v>2458114</v>
      </c>
      <c r="I114" t="s">
        <v>17</v>
      </c>
      <c r="J114">
        <v>395004</v>
      </c>
      <c r="K114">
        <v>335050</v>
      </c>
    </row>
    <row r="115" spans="1:11" x14ac:dyDescent="0.25">
      <c r="A115" s="1">
        <v>45578</v>
      </c>
      <c r="B115" t="s">
        <v>16</v>
      </c>
      <c r="C115" t="s">
        <v>15</v>
      </c>
      <c r="D115">
        <v>44466</v>
      </c>
      <c r="E115">
        <v>575</v>
      </c>
      <c r="F115">
        <v>25567950</v>
      </c>
      <c r="G115">
        <v>537</v>
      </c>
      <c r="H115">
        <v>1689708</v>
      </c>
      <c r="I115" t="s">
        <v>13</v>
      </c>
      <c r="J115">
        <v>259163</v>
      </c>
      <c r="K115">
        <v>214697</v>
      </c>
    </row>
    <row r="116" spans="1:11" x14ac:dyDescent="0.25">
      <c r="A116" s="1">
        <v>45578</v>
      </c>
      <c r="B116" t="s">
        <v>18</v>
      </c>
      <c r="C116" t="s">
        <v>12</v>
      </c>
      <c r="D116">
        <v>71934</v>
      </c>
      <c r="E116">
        <v>651</v>
      </c>
      <c r="F116">
        <v>46829034</v>
      </c>
      <c r="G116">
        <v>603</v>
      </c>
      <c r="H116">
        <v>3452832</v>
      </c>
      <c r="I116" t="s">
        <v>13</v>
      </c>
      <c r="J116">
        <v>205486</v>
      </c>
      <c r="K116">
        <v>133552</v>
      </c>
    </row>
    <row r="117" spans="1:11" x14ac:dyDescent="0.25">
      <c r="A117" s="1">
        <v>45578</v>
      </c>
      <c r="B117" t="s">
        <v>18</v>
      </c>
      <c r="C117" t="s">
        <v>14</v>
      </c>
      <c r="D117">
        <v>31130</v>
      </c>
      <c r="E117">
        <v>802</v>
      </c>
      <c r="F117">
        <v>24966260</v>
      </c>
      <c r="G117">
        <v>750</v>
      </c>
      <c r="H117">
        <v>1618760</v>
      </c>
      <c r="I117" t="s">
        <v>17</v>
      </c>
      <c r="J117">
        <v>397775</v>
      </c>
      <c r="K117">
        <v>366645</v>
      </c>
    </row>
    <row r="118" spans="1:11" x14ac:dyDescent="0.25">
      <c r="A118" s="1">
        <v>45578</v>
      </c>
      <c r="B118" t="s">
        <v>18</v>
      </c>
      <c r="C118" t="s">
        <v>15</v>
      </c>
      <c r="D118">
        <v>21062</v>
      </c>
      <c r="E118">
        <v>552</v>
      </c>
      <c r="F118">
        <v>11626224</v>
      </c>
      <c r="G118">
        <v>481</v>
      </c>
      <c r="H118">
        <v>1495402</v>
      </c>
      <c r="I118" t="s">
        <v>17</v>
      </c>
      <c r="J118">
        <v>221689</v>
      </c>
      <c r="K118">
        <v>200627</v>
      </c>
    </row>
    <row r="119" spans="1:11" x14ac:dyDescent="0.25">
      <c r="A119" s="1">
        <v>45579</v>
      </c>
      <c r="B119" t="s">
        <v>11</v>
      </c>
      <c r="C119" t="s">
        <v>12</v>
      </c>
      <c r="D119">
        <v>29348</v>
      </c>
      <c r="E119">
        <v>634</v>
      </c>
      <c r="F119">
        <v>18606632</v>
      </c>
      <c r="G119">
        <v>582</v>
      </c>
      <c r="H119">
        <v>1526096</v>
      </c>
      <c r="I119" t="s">
        <v>17</v>
      </c>
      <c r="J119">
        <v>274460</v>
      </c>
      <c r="K119">
        <v>245112</v>
      </c>
    </row>
    <row r="120" spans="1:11" x14ac:dyDescent="0.25">
      <c r="A120" s="1">
        <v>45579</v>
      </c>
      <c r="B120" t="s">
        <v>11</v>
      </c>
      <c r="C120" t="s">
        <v>14</v>
      </c>
      <c r="D120">
        <v>26801</v>
      </c>
      <c r="E120">
        <v>825</v>
      </c>
      <c r="F120">
        <v>22110825</v>
      </c>
      <c r="G120">
        <v>787</v>
      </c>
      <c r="H120">
        <v>1018438</v>
      </c>
      <c r="I120" t="s">
        <v>13</v>
      </c>
      <c r="J120">
        <v>354697</v>
      </c>
      <c r="K120">
        <v>327896</v>
      </c>
    </row>
    <row r="121" spans="1:11" x14ac:dyDescent="0.25">
      <c r="A121" s="1">
        <v>45579</v>
      </c>
      <c r="B121" t="s">
        <v>11</v>
      </c>
      <c r="C121" t="s">
        <v>15</v>
      </c>
      <c r="D121">
        <v>64261</v>
      </c>
      <c r="E121">
        <v>506</v>
      </c>
      <c r="F121">
        <v>32516066</v>
      </c>
      <c r="G121">
        <v>431</v>
      </c>
      <c r="H121">
        <v>4819575</v>
      </c>
      <c r="I121" t="s">
        <v>13</v>
      </c>
      <c r="J121">
        <v>377804</v>
      </c>
      <c r="K121">
        <v>313543</v>
      </c>
    </row>
    <row r="122" spans="1:11" x14ac:dyDescent="0.25">
      <c r="A122" s="1">
        <v>45579</v>
      </c>
      <c r="B122" t="s">
        <v>16</v>
      </c>
      <c r="C122" t="s">
        <v>12</v>
      </c>
      <c r="D122">
        <v>59081</v>
      </c>
      <c r="E122">
        <v>608</v>
      </c>
      <c r="F122">
        <v>35921248</v>
      </c>
      <c r="G122">
        <v>529</v>
      </c>
      <c r="H122">
        <v>4667399</v>
      </c>
      <c r="I122" t="s">
        <v>13</v>
      </c>
      <c r="J122">
        <v>419930</v>
      </c>
      <c r="K122">
        <v>360849</v>
      </c>
    </row>
    <row r="123" spans="1:11" x14ac:dyDescent="0.25">
      <c r="A123" s="1">
        <v>45579</v>
      </c>
      <c r="B123" t="s">
        <v>16</v>
      </c>
      <c r="C123" t="s">
        <v>14</v>
      </c>
      <c r="D123">
        <v>74693</v>
      </c>
      <c r="E123">
        <v>832</v>
      </c>
      <c r="F123">
        <v>62144576</v>
      </c>
      <c r="G123">
        <v>795</v>
      </c>
      <c r="H123">
        <v>2763641</v>
      </c>
      <c r="I123" t="s">
        <v>17</v>
      </c>
      <c r="J123">
        <v>213807</v>
      </c>
      <c r="K123">
        <v>139114</v>
      </c>
    </row>
    <row r="124" spans="1:11" x14ac:dyDescent="0.25">
      <c r="A124" s="1">
        <v>45579</v>
      </c>
      <c r="B124" t="s">
        <v>16</v>
      </c>
      <c r="C124" t="s">
        <v>15</v>
      </c>
      <c r="D124">
        <v>46432</v>
      </c>
      <c r="E124">
        <v>585</v>
      </c>
      <c r="F124">
        <v>27162720</v>
      </c>
      <c r="G124">
        <v>539</v>
      </c>
      <c r="H124">
        <v>2135872</v>
      </c>
      <c r="I124" t="s">
        <v>17</v>
      </c>
      <c r="J124">
        <v>368152</v>
      </c>
      <c r="K124">
        <v>321720</v>
      </c>
    </row>
    <row r="125" spans="1:11" x14ac:dyDescent="0.25">
      <c r="A125" s="1">
        <v>45579</v>
      </c>
      <c r="B125" t="s">
        <v>18</v>
      </c>
      <c r="C125" t="s">
        <v>12</v>
      </c>
      <c r="D125">
        <v>55909</v>
      </c>
      <c r="E125">
        <v>630</v>
      </c>
      <c r="F125">
        <v>35222670</v>
      </c>
      <c r="G125">
        <v>582</v>
      </c>
      <c r="H125">
        <v>2683632</v>
      </c>
      <c r="I125" t="s">
        <v>13</v>
      </c>
      <c r="J125">
        <v>403196</v>
      </c>
      <c r="K125">
        <v>347287</v>
      </c>
    </row>
    <row r="126" spans="1:11" x14ac:dyDescent="0.25">
      <c r="A126" s="1">
        <v>45579</v>
      </c>
      <c r="B126" t="s">
        <v>18</v>
      </c>
      <c r="C126" t="s">
        <v>14</v>
      </c>
      <c r="D126">
        <v>46790</v>
      </c>
      <c r="E126">
        <v>840</v>
      </c>
      <c r="F126">
        <v>39303600</v>
      </c>
      <c r="G126">
        <v>801</v>
      </c>
      <c r="H126">
        <v>1824810</v>
      </c>
      <c r="I126" t="s">
        <v>17</v>
      </c>
      <c r="J126">
        <v>424786</v>
      </c>
      <c r="K126">
        <v>377996</v>
      </c>
    </row>
    <row r="127" spans="1:11" x14ac:dyDescent="0.25">
      <c r="A127" s="1">
        <v>45579</v>
      </c>
      <c r="B127" t="s">
        <v>18</v>
      </c>
      <c r="C127" t="s">
        <v>15</v>
      </c>
      <c r="D127">
        <v>35485</v>
      </c>
      <c r="E127">
        <v>566</v>
      </c>
      <c r="F127">
        <v>20084510</v>
      </c>
      <c r="G127">
        <v>492</v>
      </c>
      <c r="H127">
        <v>2625890</v>
      </c>
      <c r="I127" t="s">
        <v>13</v>
      </c>
      <c r="J127">
        <v>204748</v>
      </c>
      <c r="K127">
        <v>169263</v>
      </c>
    </row>
    <row r="128" spans="1:11" x14ac:dyDescent="0.25">
      <c r="A128" s="1">
        <v>45580</v>
      </c>
      <c r="B128" t="s">
        <v>11</v>
      </c>
      <c r="C128" t="s">
        <v>12</v>
      </c>
      <c r="D128">
        <v>29435</v>
      </c>
      <c r="E128">
        <v>657</v>
      </c>
      <c r="F128">
        <v>19338795</v>
      </c>
      <c r="G128">
        <v>608</v>
      </c>
      <c r="H128">
        <v>1442315</v>
      </c>
      <c r="I128" t="s">
        <v>13</v>
      </c>
      <c r="J128">
        <v>386843</v>
      </c>
      <c r="K128">
        <v>357408</v>
      </c>
    </row>
    <row r="129" spans="1:11" x14ac:dyDescent="0.25">
      <c r="A129" s="1">
        <v>45580</v>
      </c>
      <c r="B129" t="s">
        <v>11</v>
      </c>
      <c r="C129" t="s">
        <v>14</v>
      </c>
      <c r="D129">
        <v>33116</v>
      </c>
      <c r="E129">
        <v>876</v>
      </c>
      <c r="F129">
        <v>29009616</v>
      </c>
      <c r="G129">
        <v>806</v>
      </c>
      <c r="H129">
        <v>2318120</v>
      </c>
      <c r="I129" t="s">
        <v>17</v>
      </c>
      <c r="J129">
        <v>239298</v>
      </c>
      <c r="K129">
        <v>206182</v>
      </c>
    </row>
    <row r="130" spans="1:11" x14ac:dyDescent="0.25">
      <c r="A130" s="1">
        <v>45580</v>
      </c>
      <c r="B130" t="s">
        <v>11</v>
      </c>
      <c r="C130" t="s">
        <v>15</v>
      </c>
      <c r="D130">
        <v>81629</v>
      </c>
      <c r="E130">
        <v>562</v>
      </c>
      <c r="F130">
        <v>45875498</v>
      </c>
      <c r="G130">
        <v>484</v>
      </c>
      <c r="H130">
        <v>6367062</v>
      </c>
      <c r="I130" t="s">
        <v>13</v>
      </c>
      <c r="J130">
        <v>223960</v>
      </c>
      <c r="K130">
        <v>142331</v>
      </c>
    </row>
    <row r="131" spans="1:11" x14ac:dyDescent="0.25">
      <c r="A131" s="1">
        <v>45580</v>
      </c>
      <c r="B131" t="s">
        <v>16</v>
      </c>
      <c r="C131" t="s">
        <v>12</v>
      </c>
      <c r="D131">
        <v>87641</v>
      </c>
      <c r="E131">
        <v>643</v>
      </c>
      <c r="F131">
        <v>56353163</v>
      </c>
      <c r="G131">
        <v>569</v>
      </c>
      <c r="H131">
        <v>6485434</v>
      </c>
      <c r="I131" t="s">
        <v>17</v>
      </c>
      <c r="J131">
        <v>329695</v>
      </c>
      <c r="K131">
        <v>242054</v>
      </c>
    </row>
    <row r="132" spans="1:11" x14ac:dyDescent="0.25">
      <c r="A132" s="1">
        <v>45580</v>
      </c>
      <c r="B132" t="s">
        <v>16</v>
      </c>
      <c r="C132" t="s">
        <v>14</v>
      </c>
      <c r="D132">
        <v>54620</v>
      </c>
      <c r="E132">
        <v>796</v>
      </c>
      <c r="F132">
        <v>43477520</v>
      </c>
      <c r="G132">
        <v>746</v>
      </c>
      <c r="H132">
        <v>2731000</v>
      </c>
      <c r="I132" t="s">
        <v>13</v>
      </c>
      <c r="J132">
        <v>482703</v>
      </c>
      <c r="K132">
        <v>428083</v>
      </c>
    </row>
    <row r="133" spans="1:11" x14ac:dyDescent="0.25">
      <c r="A133" s="1">
        <v>45580</v>
      </c>
      <c r="B133" t="s">
        <v>16</v>
      </c>
      <c r="C133" t="s">
        <v>15</v>
      </c>
      <c r="D133">
        <v>81642</v>
      </c>
      <c r="E133">
        <v>535</v>
      </c>
      <c r="F133">
        <v>43678470</v>
      </c>
      <c r="G133">
        <v>471</v>
      </c>
      <c r="H133">
        <v>5225088</v>
      </c>
      <c r="I133" t="s">
        <v>17</v>
      </c>
      <c r="J133">
        <v>475987</v>
      </c>
      <c r="K133">
        <v>394345</v>
      </c>
    </row>
    <row r="134" spans="1:11" x14ac:dyDescent="0.25">
      <c r="A134" s="1">
        <v>45580</v>
      </c>
      <c r="B134" t="s">
        <v>18</v>
      </c>
      <c r="C134" t="s">
        <v>12</v>
      </c>
      <c r="D134">
        <v>37640</v>
      </c>
      <c r="E134">
        <v>648</v>
      </c>
      <c r="F134">
        <v>24390720</v>
      </c>
      <c r="G134">
        <v>605</v>
      </c>
      <c r="H134">
        <v>1618520</v>
      </c>
      <c r="I134" t="s">
        <v>17</v>
      </c>
      <c r="J134">
        <v>459214</v>
      </c>
      <c r="K134">
        <v>421574</v>
      </c>
    </row>
    <row r="135" spans="1:11" x14ac:dyDescent="0.25">
      <c r="A135" s="1">
        <v>45580</v>
      </c>
      <c r="B135" t="s">
        <v>18</v>
      </c>
      <c r="C135" t="s">
        <v>14</v>
      </c>
      <c r="D135">
        <v>72736</v>
      </c>
      <c r="E135">
        <v>866</v>
      </c>
      <c r="F135">
        <v>62989376</v>
      </c>
      <c r="G135">
        <v>834</v>
      </c>
      <c r="H135">
        <v>2327552</v>
      </c>
      <c r="I135" t="s">
        <v>17</v>
      </c>
      <c r="J135">
        <v>350159</v>
      </c>
      <c r="K135">
        <v>277423</v>
      </c>
    </row>
    <row r="136" spans="1:11" x14ac:dyDescent="0.25">
      <c r="A136" s="1">
        <v>45580</v>
      </c>
      <c r="B136" t="s">
        <v>18</v>
      </c>
      <c r="C136" t="s">
        <v>15</v>
      </c>
      <c r="D136">
        <v>44504</v>
      </c>
      <c r="E136">
        <v>574</v>
      </c>
      <c r="F136">
        <v>25545296</v>
      </c>
      <c r="G136">
        <v>533</v>
      </c>
      <c r="H136">
        <v>1824664</v>
      </c>
      <c r="I136" t="s">
        <v>13</v>
      </c>
      <c r="J136">
        <v>211023</v>
      </c>
      <c r="K136">
        <v>166519</v>
      </c>
    </row>
    <row r="137" spans="1:11" x14ac:dyDescent="0.25">
      <c r="A137" s="1">
        <v>45581</v>
      </c>
      <c r="B137" t="s">
        <v>11</v>
      </c>
      <c r="C137" t="s">
        <v>12</v>
      </c>
      <c r="D137">
        <v>43959</v>
      </c>
      <c r="E137">
        <v>627</v>
      </c>
      <c r="F137">
        <v>27562293</v>
      </c>
      <c r="G137">
        <v>590</v>
      </c>
      <c r="H137">
        <v>1626483</v>
      </c>
      <c r="I137" t="s">
        <v>13</v>
      </c>
      <c r="J137">
        <v>209337</v>
      </c>
      <c r="K137">
        <v>165378</v>
      </c>
    </row>
    <row r="138" spans="1:11" x14ac:dyDescent="0.25">
      <c r="A138" s="1">
        <v>45581</v>
      </c>
      <c r="B138" t="s">
        <v>11</v>
      </c>
      <c r="C138" t="s">
        <v>14</v>
      </c>
      <c r="D138">
        <v>81529</v>
      </c>
      <c r="E138">
        <v>885</v>
      </c>
      <c r="F138">
        <v>72153165</v>
      </c>
      <c r="G138">
        <v>806</v>
      </c>
      <c r="H138">
        <v>6440791</v>
      </c>
      <c r="I138" t="s">
        <v>13</v>
      </c>
      <c r="J138">
        <v>495451</v>
      </c>
      <c r="K138">
        <v>413922</v>
      </c>
    </row>
    <row r="139" spans="1:11" x14ac:dyDescent="0.25">
      <c r="A139" s="1">
        <v>45581</v>
      </c>
      <c r="B139" t="s">
        <v>11</v>
      </c>
      <c r="C139" t="s">
        <v>15</v>
      </c>
      <c r="D139">
        <v>24835</v>
      </c>
      <c r="E139">
        <v>563</v>
      </c>
      <c r="F139">
        <v>13982105</v>
      </c>
      <c r="G139">
        <v>507</v>
      </c>
      <c r="H139">
        <v>1390760</v>
      </c>
      <c r="I139" t="s">
        <v>17</v>
      </c>
      <c r="J139">
        <v>378677</v>
      </c>
      <c r="K139">
        <v>353842</v>
      </c>
    </row>
    <row r="140" spans="1:11" x14ac:dyDescent="0.25">
      <c r="A140" s="1">
        <v>45581</v>
      </c>
      <c r="B140" t="s">
        <v>16</v>
      </c>
      <c r="C140" t="s">
        <v>12</v>
      </c>
      <c r="D140">
        <v>58088</v>
      </c>
      <c r="E140">
        <v>632</v>
      </c>
      <c r="F140">
        <v>36711616</v>
      </c>
      <c r="G140">
        <v>583</v>
      </c>
      <c r="H140">
        <v>2846312</v>
      </c>
      <c r="I140" t="s">
        <v>13</v>
      </c>
      <c r="J140">
        <v>366619</v>
      </c>
      <c r="K140">
        <v>308531</v>
      </c>
    </row>
    <row r="141" spans="1:11" x14ac:dyDescent="0.25">
      <c r="A141" s="1">
        <v>45581</v>
      </c>
      <c r="B141" t="s">
        <v>16</v>
      </c>
      <c r="C141" t="s">
        <v>14</v>
      </c>
      <c r="D141">
        <v>47532</v>
      </c>
      <c r="E141">
        <v>795</v>
      </c>
      <c r="F141">
        <v>37787940</v>
      </c>
      <c r="G141">
        <v>731</v>
      </c>
      <c r="H141">
        <v>3042048</v>
      </c>
      <c r="I141" t="s">
        <v>13</v>
      </c>
      <c r="J141">
        <v>318012</v>
      </c>
      <c r="K141">
        <v>270480</v>
      </c>
    </row>
    <row r="142" spans="1:11" x14ac:dyDescent="0.25">
      <c r="A142" s="1">
        <v>45581</v>
      </c>
      <c r="B142" t="s">
        <v>16</v>
      </c>
      <c r="C142" t="s">
        <v>15</v>
      </c>
      <c r="D142">
        <v>25713</v>
      </c>
      <c r="E142">
        <v>568</v>
      </c>
      <c r="F142">
        <v>14604984</v>
      </c>
      <c r="G142">
        <v>492</v>
      </c>
      <c r="H142">
        <v>1954188</v>
      </c>
      <c r="I142" t="s">
        <v>13</v>
      </c>
      <c r="J142">
        <v>329473</v>
      </c>
      <c r="K142">
        <v>303760</v>
      </c>
    </row>
    <row r="143" spans="1:11" x14ac:dyDescent="0.25">
      <c r="A143" s="1">
        <v>45581</v>
      </c>
      <c r="B143" t="s">
        <v>18</v>
      </c>
      <c r="C143" t="s">
        <v>12</v>
      </c>
      <c r="D143">
        <v>78141</v>
      </c>
      <c r="E143">
        <v>604</v>
      </c>
      <c r="F143">
        <v>47197164</v>
      </c>
      <c r="G143">
        <v>542</v>
      </c>
      <c r="H143">
        <v>4844742</v>
      </c>
      <c r="I143" t="s">
        <v>17</v>
      </c>
      <c r="J143">
        <v>261813</v>
      </c>
      <c r="K143">
        <v>183672</v>
      </c>
    </row>
    <row r="144" spans="1:11" x14ac:dyDescent="0.25">
      <c r="A144" s="1">
        <v>45581</v>
      </c>
      <c r="B144" t="s">
        <v>18</v>
      </c>
      <c r="C144" t="s">
        <v>14</v>
      </c>
      <c r="D144">
        <v>28415</v>
      </c>
      <c r="E144">
        <v>760</v>
      </c>
      <c r="F144">
        <v>21595400</v>
      </c>
      <c r="G144">
        <v>710</v>
      </c>
      <c r="H144">
        <v>1420750</v>
      </c>
      <c r="I144" t="s">
        <v>17</v>
      </c>
      <c r="J144">
        <v>485977</v>
      </c>
      <c r="K144">
        <v>457562</v>
      </c>
    </row>
    <row r="145" spans="1:11" x14ac:dyDescent="0.25">
      <c r="A145" s="1">
        <v>45581</v>
      </c>
      <c r="B145" t="s">
        <v>18</v>
      </c>
      <c r="C145" t="s">
        <v>15</v>
      </c>
      <c r="D145">
        <v>82680</v>
      </c>
      <c r="E145">
        <v>585</v>
      </c>
      <c r="F145">
        <v>48367800</v>
      </c>
      <c r="G145">
        <v>529</v>
      </c>
      <c r="H145">
        <v>4630080</v>
      </c>
      <c r="I145" t="s">
        <v>13</v>
      </c>
      <c r="J145">
        <v>351456</v>
      </c>
      <c r="K145">
        <v>268776</v>
      </c>
    </row>
    <row r="146" spans="1:11" x14ac:dyDescent="0.25">
      <c r="A146" s="1">
        <v>45582</v>
      </c>
      <c r="B146" t="s">
        <v>11</v>
      </c>
      <c r="C146" t="s">
        <v>12</v>
      </c>
      <c r="D146">
        <v>28702</v>
      </c>
      <c r="E146">
        <v>600</v>
      </c>
      <c r="F146">
        <v>17221200</v>
      </c>
      <c r="G146">
        <v>550</v>
      </c>
      <c r="H146">
        <v>1435100</v>
      </c>
      <c r="I146" t="s">
        <v>13</v>
      </c>
      <c r="J146">
        <v>378998</v>
      </c>
      <c r="K146">
        <v>350296</v>
      </c>
    </row>
    <row r="147" spans="1:11" x14ac:dyDescent="0.25">
      <c r="A147" s="1">
        <v>45582</v>
      </c>
      <c r="B147" t="s">
        <v>11</v>
      </c>
      <c r="C147" t="s">
        <v>14</v>
      </c>
      <c r="D147">
        <v>32763</v>
      </c>
      <c r="E147">
        <v>844</v>
      </c>
      <c r="F147">
        <v>27651972</v>
      </c>
      <c r="G147">
        <v>810</v>
      </c>
      <c r="H147">
        <v>1113942</v>
      </c>
      <c r="I147" t="s">
        <v>17</v>
      </c>
      <c r="J147">
        <v>435365</v>
      </c>
      <c r="K147">
        <v>402602</v>
      </c>
    </row>
    <row r="148" spans="1:11" x14ac:dyDescent="0.25">
      <c r="A148" s="1">
        <v>45582</v>
      </c>
      <c r="B148" t="s">
        <v>11</v>
      </c>
      <c r="C148" t="s">
        <v>15</v>
      </c>
      <c r="D148">
        <v>70612</v>
      </c>
      <c r="E148">
        <v>522</v>
      </c>
      <c r="F148">
        <v>36859464</v>
      </c>
      <c r="G148">
        <v>456</v>
      </c>
      <c r="H148">
        <v>4660392</v>
      </c>
      <c r="I148" t="s">
        <v>17</v>
      </c>
      <c r="J148">
        <v>400244</v>
      </c>
      <c r="K148">
        <v>329632</v>
      </c>
    </row>
    <row r="149" spans="1:11" x14ac:dyDescent="0.25">
      <c r="A149" s="1">
        <v>45582</v>
      </c>
      <c r="B149" t="s">
        <v>16</v>
      </c>
      <c r="C149" t="s">
        <v>12</v>
      </c>
      <c r="D149">
        <v>24809</v>
      </c>
      <c r="E149">
        <v>673</v>
      </c>
      <c r="F149">
        <v>16696457</v>
      </c>
      <c r="G149">
        <v>625</v>
      </c>
      <c r="H149">
        <v>1190832</v>
      </c>
      <c r="I149" t="s">
        <v>17</v>
      </c>
      <c r="J149">
        <v>344528</v>
      </c>
      <c r="K149">
        <v>319719</v>
      </c>
    </row>
    <row r="150" spans="1:11" x14ac:dyDescent="0.25">
      <c r="A150" s="1">
        <v>45582</v>
      </c>
      <c r="B150" t="s">
        <v>16</v>
      </c>
      <c r="C150" t="s">
        <v>14</v>
      </c>
      <c r="D150">
        <v>76397</v>
      </c>
      <c r="E150">
        <v>859</v>
      </c>
      <c r="F150">
        <v>65625023</v>
      </c>
      <c r="G150">
        <v>829</v>
      </c>
      <c r="H150">
        <v>2291910</v>
      </c>
      <c r="I150" t="s">
        <v>17</v>
      </c>
      <c r="J150">
        <v>221949</v>
      </c>
      <c r="K150">
        <v>145552</v>
      </c>
    </row>
    <row r="151" spans="1:11" x14ac:dyDescent="0.25">
      <c r="A151" s="1">
        <v>45582</v>
      </c>
      <c r="B151" t="s">
        <v>16</v>
      </c>
      <c r="C151" t="s">
        <v>15</v>
      </c>
      <c r="D151">
        <v>57744</v>
      </c>
      <c r="E151">
        <v>531</v>
      </c>
      <c r="F151">
        <v>30662064</v>
      </c>
      <c r="G151">
        <v>468</v>
      </c>
      <c r="H151">
        <v>3637872</v>
      </c>
      <c r="I151" t="s">
        <v>17</v>
      </c>
      <c r="J151">
        <v>236187</v>
      </c>
      <c r="K151">
        <v>178443</v>
      </c>
    </row>
    <row r="152" spans="1:11" x14ac:dyDescent="0.25">
      <c r="A152" s="1">
        <v>45582</v>
      </c>
      <c r="B152" t="s">
        <v>18</v>
      </c>
      <c r="C152" t="s">
        <v>12</v>
      </c>
      <c r="D152">
        <v>27239</v>
      </c>
      <c r="E152">
        <v>638</v>
      </c>
      <c r="F152">
        <v>17378482</v>
      </c>
      <c r="G152">
        <v>583</v>
      </c>
      <c r="H152">
        <v>1498145</v>
      </c>
      <c r="I152" t="s">
        <v>13</v>
      </c>
      <c r="J152">
        <v>389089</v>
      </c>
      <c r="K152">
        <v>361850</v>
      </c>
    </row>
    <row r="153" spans="1:11" x14ac:dyDescent="0.25">
      <c r="A153" s="1">
        <v>45582</v>
      </c>
      <c r="B153" t="s">
        <v>18</v>
      </c>
      <c r="C153" t="s">
        <v>14</v>
      </c>
      <c r="D153">
        <v>63125</v>
      </c>
      <c r="E153">
        <v>752</v>
      </c>
      <c r="F153">
        <v>47470000</v>
      </c>
      <c r="G153">
        <v>673</v>
      </c>
      <c r="H153">
        <v>4986875</v>
      </c>
      <c r="I153" t="s">
        <v>17</v>
      </c>
      <c r="J153">
        <v>237131</v>
      </c>
      <c r="K153">
        <v>174006</v>
      </c>
    </row>
    <row r="154" spans="1:11" x14ac:dyDescent="0.25">
      <c r="A154" s="1">
        <v>45582</v>
      </c>
      <c r="B154" t="s">
        <v>18</v>
      </c>
      <c r="C154" t="s">
        <v>15</v>
      </c>
      <c r="D154">
        <v>44285</v>
      </c>
      <c r="E154">
        <v>556</v>
      </c>
      <c r="F154">
        <v>24622460</v>
      </c>
      <c r="G154">
        <v>510</v>
      </c>
      <c r="H154">
        <v>2037110</v>
      </c>
      <c r="I154" t="s">
        <v>17</v>
      </c>
      <c r="J154">
        <v>481342</v>
      </c>
      <c r="K154">
        <v>437057</v>
      </c>
    </row>
    <row r="155" spans="1:11" x14ac:dyDescent="0.25">
      <c r="A155" s="1">
        <v>45583</v>
      </c>
      <c r="B155" t="s">
        <v>11</v>
      </c>
      <c r="C155" t="s">
        <v>12</v>
      </c>
      <c r="D155">
        <v>35254</v>
      </c>
      <c r="E155">
        <v>678</v>
      </c>
      <c r="F155">
        <v>23902212</v>
      </c>
      <c r="G155">
        <v>612</v>
      </c>
      <c r="H155">
        <v>2326764</v>
      </c>
      <c r="I155" t="s">
        <v>13</v>
      </c>
      <c r="J155">
        <v>281317</v>
      </c>
      <c r="K155">
        <v>246063</v>
      </c>
    </row>
    <row r="156" spans="1:11" x14ac:dyDescent="0.25">
      <c r="A156" s="1">
        <v>45583</v>
      </c>
      <c r="B156" t="s">
        <v>11</v>
      </c>
      <c r="C156" t="s">
        <v>14</v>
      </c>
      <c r="D156">
        <v>26949</v>
      </c>
      <c r="E156">
        <v>799</v>
      </c>
      <c r="F156">
        <v>21532251</v>
      </c>
      <c r="G156">
        <v>736</v>
      </c>
      <c r="H156">
        <v>1697787</v>
      </c>
      <c r="I156" t="s">
        <v>13</v>
      </c>
      <c r="J156">
        <v>404625</v>
      </c>
      <c r="K156">
        <v>377676</v>
      </c>
    </row>
    <row r="157" spans="1:11" x14ac:dyDescent="0.25">
      <c r="A157" s="1">
        <v>45583</v>
      </c>
      <c r="B157" t="s">
        <v>11</v>
      </c>
      <c r="C157" t="s">
        <v>15</v>
      </c>
      <c r="D157">
        <v>45934</v>
      </c>
      <c r="E157">
        <v>590</v>
      </c>
      <c r="F157">
        <v>27101060</v>
      </c>
      <c r="G157">
        <v>527</v>
      </c>
      <c r="H157">
        <v>2893842</v>
      </c>
      <c r="I157" t="s">
        <v>13</v>
      </c>
      <c r="J157">
        <v>450875</v>
      </c>
      <c r="K157">
        <v>404941</v>
      </c>
    </row>
    <row r="158" spans="1:11" x14ac:dyDescent="0.25">
      <c r="A158" s="1">
        <v>45583</v>
      </c>
      <c r="B158" t="s">
        <v>16</v>
      </c>
      <c r="C158" t="s">
        <v>12</v>
      </c>
      <c r="D158">
        <v>72329</v>
      </c>
      <c r="E158">
        <v>650</v>
      </c>
      <c r="F158">
        <v>47013850</v>
      </c>
      <c r="G158">
        <v>604</v>
      </c>
      <c r="H158">
        <v>3327134</v>
      </c>
      <c r="I158" t="s">
        <v>17</v>
      </c>
      <c r="J158">
        <v>447940</v>
      </c>
      <c r="K158">
        <v>375611</v>
      </c>
    </row>
    <row r="159" spans="1:11" x14ac:dyDescent="0.25">
      <c r="A159" s="1">
        <v>45583</v>
      </c>
      <c r="B159" t="s">
        <v>16</v>
      </c>
      <c r="C159" t="s">
        <v>14</v>
      </c>
      <c r="D159">
        <v>59811</v>
      </c>
      <c r="E159">
        <v>887</v>
      </c>
      <c r="F159">
        <v>53052357</v>
      </c>
      <c r="G159">
        <v>841</v>
      </c>
      <c r="H159">
        <v>2751306</v>
      </c>
      <c r="I159" t="s">
        <v>17</v>
      </c>
      <c r="J159">
        <v>418441</v>
      </c>
      <c r="K159">
        <v>358630</v>
      </c>
    </row>
    <row r="160" spans="1:11" x14ac:dyDescent="0.25">
      <c r="A160" s="1">
        <v>45583</v>
      </c>
      <c r="B160" t="s">
        <v>16</v>
      </c>
      <c r="C160" t="s">
        <v>15</v>
      </c>
      <c r="D160">
        <v>39963</v>
      </c>
      <c r="E160">
        <v>583</v>
      </c>
      <c r="F160">
        <v>23298429</v>
      </c>
      <c r="G160">
        <v>530</v>
      </c>
      <c r="H160">
        <v>2118039</v>
      </c>
      <c r="I160" t="s">
        <v>13</v>
      </c>
      <c r="J160">
        <v>423777</v>
      </c>
      <c r="K160">
        <v>383814</v>
      </c>
    </row>
    <row r="161" spans="1:11" x14ac:dyDescent="0.25">
      <c r="A161" s="1">
        <v>45583</v>
      </c>
      <c r="B161" t="s">
        <v>18</v>
      </c>
      <c r="C161" t="s">
        <v>12</v>
      </c>
      <c r="D161">
        <v>34388</v>
      </c>
      <c r="E161">
        <v>665</v>
      </c>
      <c r="F161">
        <v>22868020</v>
      </c>
      <c r="G161">
        <v>623</v>
      </c>
      <c r="H161">
        <v>1444296</v>
      </c>
      <c r="I161" t="s">
        <v>17</v>
      </c>
      <c r="J161">
        <v>304573</v>
      </c>
      <c r="K161">
        <v>270185</v>
      </c>
    </row>
    <row r="162" spans="1:11" x14ac:dyDescent="0.25">
      <c r="A162" s="1">
        <v>45583</v>
      </c>
      <c r="B162" t="s">
        <v>18</v>
      </c>
      <c r="C162" t="s">
        <v>14</v>
      </c>
      <c r="D162">
        <v>32015</v>
      </c>
      <c r="E162">
        <v>864</v>
      </c>
      <c r="F162">
        <v>27660960</v>
      </c>
      <c r="G162">
        <v>788</v>
      </c>
      <c r="H162">
        <v>2433140</v>
      </c>
      <c r="I162" t="s">
        <v>17</v>
      </c>
      <c r="J162">
        <v>355286</v>
      </c>
      <c r="K162">
        <v>323271</v>
      </c>
    </row>
    <row r="163" spans="1:11" x14ac:dyDescent="0.25">
      <c r="A163" s="1">
        <v>45583</v>
      </c>
      <c r="B163" t="s">
        <v>18</v>
      </c>
      <c r="C163" t="s">
        <v>15</v>
      </c>
      <c r="D163">
        <v>26090</v>
      </c>
      <c r="E163">
        <v>515</v>
      </c>
      <c r="F163">
        <v>13436350</v>
      </c>
      <c r="G163">
        <v>478</v>
      </c>
      <c r="H163">
        <v>965330</v>
      </c>
      <c r="I163" t="s">
        <v>13</v>
      </c>
      <c r="J163">
        <v>258243</v>
      </c>
      <c r="K163">
        <v>232153</v>
      </c>
    </row>
    <row r="164" spans="1:11" x14ac:dyDescent="0.25">
      <c r="A164" s="1">
        <v>45584</v>
      </c>
      <c r="B164" t="s">
        <v>11</v>
      </c>
      <c r="C164" t="s">
        <v>12</v>
      </c>
      <c r="D164">
        <v>61240</v>
      </c>
      <c r="E164">
        <v>666</v>
      </c>
      <c r="F164">
        <v>40785840</v>
      </c>
      <c r="G164">
        <v>605</v>
      </c>
      <c r="H164">
        <v>3735640</v>
      </c>
      <c r="I164" t="s">
        <v>13</v>
      </c>
      <c r="J164">
        <v>228732</v>
      </c>
      <c r="K164">
        <v>167492</v>
      </c>
    </row>
    <row r="165" spans="1:11" x14ac:dyDescent="0.25">
      <c r="A165" s="1">
        <v>45584</v>
      </c>
      <c r="B165" t="s">
        <v>11</v>
      </c>
      <c r="C165" t="s">
        <v>14</v>
      </c>
      <c r="D165">
        <v>31314</v>
      </c>
      <c r="E165">
        <v>896</v>
      </c>
      <c r="F165">
        <v>28057344</v>
      </c>
      <c r="G165">
        <v>846</v>
      </c>
      <c r="H165">
        <v>1565700</v>
      </c>
      <c r="I165" t="s">
        <v>13</v>
      </c>
      <c r="J165">
        <v>311195</v>
      </c>
      <c r="K165">
        <v>279881</v>
      </c>
    </row>
    <row r="166" spans="1:11" x14ac:dyDescent="0.25">
      <c r="A166" s="1">
        <v>45584</v>
      </c>
      <c r="B166" t="s">
        <v>11</v>
      </c>
      <c r="C166" t="s">
        <v>15</v>
      </c>
      <c r="D166">
        <v>56668</v>
      </c>
      <c r="E166">
        <v>521</v>
      </c>
      <c r="F166">
        <v>29524028</v>
      </c>
      <c r="G166">
        <v>471</v>
      </c>
      <c r="H166">
        <v>2833400</v>
      </c>
      <c r="I166" t="s">
        <v>17</v>
      </c>
      <c r="J166">
        <v>239749</v>
      </c>
      <c r="K166">
        <v>183081</v>
      </c>
    </row>
    <row r="167" spans="1:11" x14ac:dyDescent="0.25">
      <c r="A167" s="1">
        <v>45584</v>
      </c>
      <c r="B167" t="s">
        <v>16</v>
      </c>
      <c r="C167" t="s">
        <v>12</v>
      </c>
      <c r="D167">
        <v>36907</v>
      </c>
      <c r="E167">
        <v>689</v>
      </c>
      <c r="F167">
        <v>25428923</v>
      </c>
      <c r="G167">
        <v>614</v>
      </c>
      <c r="H167">
        <v>2768025</v>
      </c>
      <c r="I167" t="s">
        <v>17</v>
      </c>
      <c r="J167">
        <v>251745</v>
      </c>
      <c r="K167">
        <v>214838</v>
      </c>
    </row>
    <row r="168" spans="1:11" x14ac:dyDescent="0.25">
      <c r="A168" s="1">
        <v>45584</v>
      </c>
      <c r="B168" t="s">
        <v>16</v>
      </c>
      <c r="C168" t="s">
        <v>14</v>
      </c>
      <c r="D168">
        <v>43624</v>
      </c>
      <c r="E168">
        <v>775</v>
      </c>
      <c r="F168">
        <v>33808600</v>
      </c>
      <c r="G168">
        <v>699</v>
      </c>
      <c r="H168">
        <v>3315424</v>
      </c>
      <c r="I168" t="s">
        <v>17</v>
      </c>
      <c r="J168">
        <v>374293</v>
      </c>
      <c r="K168">
        <v>330669</v>
      </c>
    </row>
    <row r="169" spans="1:11" x14ac:dyDescent="0.25">
      <c r="A169" s="1">
        <v>45584</v>
      </c>
      <c r="B169" t="s">
        <v>16</v>
      </c>
      <c r="C169" t="s">
        <v>15</v>
      </c>
      <c r="D169">
        <v>75645</v>
      </c>
      <c r="E169">
        <v>562</v>
      </c>
      <c r="F169">
        <v>42512490</v>
      </c>
      <c r="G169">
        <v>485</v>
      </c>
      <c r="H169">
        <v>5824665</v>
      </c>
      <c r="I169" t="s">
        <v>17</v>
      </c>
      <c r="J169">
        <v>383868</v>
      </c>
      <c r="K169">
        <v>308223</v>
      </c>
    </row>
    <row r="170" spans="1:11" x14ac:dyDescent="0.25">
      <c r="A170" s="1">
        <v>45584</v>
      </c>
      <c r="B170" t="s">
        <v>18</v>
      </c>
      <c r="C170" t="s">
        <v>12</v>
      </c>
      <c r="D170">
        <v>84291</v>
      </c>
      <c r="E170">
        <v>600</v>
      </c>
      <c r="F170">
        <v>50574600</v>
      </c>
      <c r="G170">
        <v>563</v>
      </c>
      <c r="H170">
        <v>3118767</v>
      </c>
      <c r="I170" t="s">
        <v>17</v>
      </c>
      <c r="J170">
        <v>418803</v>
      </c>
      <c r="K170">
        <v>334512</v>
      </c>
    </row>
    <row r="171" spans="1:11" x14ac:dyDescent="0.25">
      <c r="A171" s="1">
        <v>45584</v>
      </c>
      <c r="B171" t="s">
        <v>18</v>
      </c>
      <c r="C171" t="s">
        <v>14</v>
      </c>
      <c r="D171">
        <v>20302</v>
      </c>
      <c r="E171">
        <v>876</v>
      </c>
      <c r="F171">
        <v>17784552</v>
      </c>
      <c r="G171">
        <v>825</v>
      </c>
      <c r="H171">
        <v>1035402</v>
      </c>
      <c r="I171" t="s">
        <v>13</v>
      </c>
      <c r="J171">
        <v>339789</v>
      </c>
      <c r="K171">
        <v>319487</v>
      </c>
    </row>
    <row r="172" spans="1:11" x14ac:dyDescent="0.25">
      <c r="A172" s="1">
        <v>45584</v>
      </c>
      <c r="B172" t="s">
        <v>18</v>
      </c>
      <c r="C172" t="s">
        <v>15</v>
      </c>
      <c r="D172">
        <v>48699</v>
      </c>
      <c r="E172">
        <v>586</v>
      </c>
      <c r="F172">
        <v>28537614</v>
      </c>
      <c r="G172">
        <v>543</v>
      </c>
      <c r="H172">
        <v>2094057</v>
      </c>
      <c r="I172" t="s">
        <v>13</v>
      </c>
      <c r="J172">
        <v>244247</v>
      </c>
      <c r="K172">
        <v>195548</v>
      </c>
    </row>
    <row r="173" spans="1:11" x14ac:dyDescent="0.25">
      <c r="A173" s="1">
        <v>45585</v>
      </c>
      <c r="B173" t="s">
        <v>11</v>
      </c>
      <c r="C173" t="s">
        <v>12</v>
      </c>
      <c r="D173">
        <v>36748</v>
      </c>
      <c r="E173">
        <v>625</v>
      </c>
      <c r="F173">
        <v>22967500</v>
      </c>
      <c r="G173">
        <v>582</v>
      </c>
      <c r="H173">
        <v>1580164</v>
      </c>
      <c r="I173" t="s">
        <v>13</v>
      </c>
      <c r="J173">
        <v>346106</v>
      </c>
      <c r="K173">
        <v>309358</v>
      </c>
    </row>
    <row r="174" spans="1:11" x14ac:dyDescent="0.25">
      <c r="A174" s="1">
        <v>45585</v>
      </c>
      <c r="B174" t="s">
        <v>11</v>
      </c>
      <c r="C174" t="s">
        <v>14</v>
      </c>
      <c r="D174">
        <v>25126</v>
      </c>
      <c r="E174">
        <v>752</v>
      </c>
      <c r="F174">
        <v>18894752</v>
      </c>
      <c r="G174">
        <v>676</v>
      </c>
      <c r="H174">
        <v>1909576</v>
      </c>
      <c r="I174" t="s">
        <v>13</v>
      </c>
      <c r="J174">
        <v>238638</v>
      </c>
      <c r="K174">
        <v>213512</v>
      </c>
    </row>
    <row r="175" spans="1:11" x14ac:dyDescent="0.25">
      <c r="A175" s="1">
        <v>45585</v>
      </c>
      <c r="B175" t="s">
        <v>11</v>
      </c>
      <c r="C175" t="s">
        <v>15</v>
      </c>
      <c r="D175">
        <v>54674</v>
      </c>
      <c r="E175">
        <v>514</v>
      </c>
      <c r="F175">
        <v>28102436</v>
      </c>
      <c r="G175">
        <v>460</v>
      </c>
      <c r="H175">
        <v>2952396</v>
      </c>
      <c r="I175" t="s">
        <v>13</v>
      </c>
      <c r="J175">
        <v>341339</v>
      </c>
      <c r="K175">
        <v>286665</v>
      </c>
    </row>
    <row r="176" spans="1:11" x14ac:dyDescent="0.25">
      <c r="A176" s="1">
        <v>45585</v>
      </c>
      <c r="B176" t="s">
        <v>16</v>
      </c>
      <c r="C176" t="s">
        <v>12</v>
      </c>
      <c r="D176">
        <v>21062</v>
      </c>
      <c r="E176">
        <v>656</v>
      </c>
      <c r="F176">
        <v>13816672</v>
      </c>
      <c r="G176">
        <v>610</v>
      </c>
      <c r="H176">
        <v>968852</v>
      </c>
      <c r="I176" t="s">
        <v>13</v>
      </c>
      <c r="J176">
        <v>295462</v>
      </c>
      <c r="K176">
        <v>274400</v>
      </c>
    </row>
    <row r="177" spans="1:11" x14ac:dyDescent="0.25">
      <c r="A177" s="1">
        <v>45585</v>
      </c>
      <c r="B177" t="s">
        <v>16</v>
      </c>
      <c r="C177" t="s">
        <v>14</v>
      </c>
      <c r="D177">
        <v>76793</v>
      </c>
      <c r="E177">
        <v>875</v>
      </c>
      <c r="F177">
        <v>67193875</v>
      </c>
      <c r="G177">
        <v>802</v>
      </c>
      <c r="H177">
        <v>5605889</v>
      </c>
      <c r="I177" t="s">
        <v>17</v>
      </c>
      <c r="J177">
        <v>466776</v>
      </c>
      <c r="K177">
        <v>389983</v>
      </c>
    </row>
    <row r="178" spans="1:11" x14ac:dyDescent="0.25">
      <c r="A178" s="1">
        <v>45585</v>
      </c>
      <c r="B178" t="s">
        <v>16</v>
      </c>
      <c r="C178" t="s">
        <v>15</v>
      </c>
      <c r="D178">
        <v>23596</v>
      </c>
      <c r="E178">
        <v>583</v>
      </c>
      <c r="F178">
        <v>13756468</v>
      </c>
      <c r="G178">
        <v>529</v>
      </c>
      <c r="H178">
        <v>1274184</v>
      </c>
      <c r="I178" t="s">
        <v>13</v>
      </c>
      <c r="J178">
        <v>308099</v>
      </c>
      <c r="K178">
        <v>284503</v>
      </c>
    </row>
    <row r="179" spans="1:11" x14ac:dyDescent="0.25">
      <c r="A179" s="1">
        <v>45585</v>
      </c>
      <c r="B179" t="s">
        <v>18</v>
      </c>
      <c r="C179" t="s">
        <v>12</v>
      </c>
      <c r="D179">
        <v>46734</v>
      </c>
      <c r="E179">
        <v>699</v>
      </c>
      <c r="F179">
        <v>32667066</v>
      </c>
      <c r="G179">
        <v>623</v>
      </c>
      <c r="H179">
        <v>3551784</v>
      </c>
      <c r="I179" t="s">
        <v>13</v>
      </c>
      <c r="J179">
        <v>226069</v>
      </c>
      <c r="K179">
        <v>179335</v>
      </c>
    </row>
    <row r="180" spans="1:11" x14ac:dyDescent="0.25">
      <c r="A180" s="1">
        <v>45585</v>
      </c>
      <c r="B180" t="s">
        <v>18</v>
      </c>
      <c r="C180" t="s">
        <v>14</v>
      </c>
      <c r="D180">
        <v>32910</v>
      </c>
      <c r="E180">
        <v>757</v>
      </c>
      <c r="F180">
        <v>24912870</v>
      </c>
      <c r="G180">
        <v>688</v>
      </c>
      <c r="H180">
        <v>2270790</v>
      </c>
      <c r="I180" t="s">
        <v>13</v>
      </c>
      <c r="J180">
        <v>281264</v>
      </c>
      <c r="K180">
        <v>248354</v>
      </c>
    </row>
    <row r="181" spans="1:11" x14ac:dyDescent="0.25">
      <c r="A181" s="1">
        <v>45585</v>
      </c>
      <c r="B181" t="s">
        <v>18</v>
      </c>
      <c r="C181" t="s">
        <v>15</v>
      </c>
      <c r="D181">
        <v>80004</v>
      </c>
      <c r="E181">
        <v>505</v>
      </c>
      <c r="F181">
        <v>40402020</v>
      </c>
      <c r="G181">
        <v>450</v>
      </c>
      <c r="H181">
        <v>4400220</v>
      </c>
      <c r="I181" t="s">
        <v>13</v>
      </c>
      <c r="J181">
        <v>248447</v>
      </c>
      <c r="K181">
        <v>168443</v>
      </c>
    </row>
    <row r="182" spans="1:11" x14ac:dyDescent="0.25">
      <c r="A182" s="1">
        <v>45586</v>
      </c>
      <c r="B182" t="s">
        <v>11</v>
      </c>
      <c r="C182" t="s">
        <v>12</v>
      </c>
      <c r="D182">
        <v>37260</v>
      </c>
      <c r="E182">
        <v>669</v>
      </c>
      <c r="F182">
        <v>24926940</v>
      </c>
      <c r="G182">
        <v>603</v>
      </c>
      <c r="H182">
        <v>2459160</v>
      </c>
      <c r="I182" t="s">
        <v>17</v>
      </c>
      <c r="J182">
        <v>389728</v>
      </c>
      <c r="K182">
        <v>352468</v>
      </c>
    </row>
    <row r="183" spans="1:11" x14ac:dyDescent="0.25">
      <c r="A183" s="1">
        <v>45586</v>
      </c>
      <c r="B183" t="s">
        <v>11</v>
      </c>
      <c r="C183" t="s">
        <v>14</v>
      </c>
      <c r="D183">
        <v>47285</v>
      </c>
      <c r="E183">
        <v>770</v>
      </c>
      <c r="F183">
        <v>36409450</v>
      </c>
      <c r="G183">
        <v>735</v>
      </c>
      <c r="H183">
        <v>1654975</v>
      </c>
      <c r="I183" t="s">
        <v>17</v>
      </c>
      <c r="J183">
        <v>201605</v>
      </c>
      <c r="K183">
        <v>154320</v>
      </c>
    </row>
    <row r="184" spans="1:11" x14ac:dyDescent="0.25">
      <c r="A184" s="1">
        <v>45586</v>
      </c>
      <c r="B184" t="s">
        <v>11</v>
      </c>
      <c r="C184" t="s">
        <v>15</v>
      </c>
      <c r="D184">
        <v>47139</v>
      </c>
      <c r="E184">
        <v>593</v>
      </c>
      <c r="F184">
        <v>27953427</v>
      </c>
      <c r="G184">
        <v>553</v>
      </c>
      <c r="H184">
        <v>1885560</v>
      </c>
      <c r="I184" t="s">
        <v>13</v>
      </c>
      <c r="J184">
        <v>461949</v>
      </c>
      <c r="K184">
        <v>414810</v>
      </c>
    </row>
    <row r="185" spans="1:11" x14ac:dyDescent="0.25">
      <c r="A185" s="1">
        <v>45586</v>
      </c>
      <c r="B185" t="s">
        <v>16</v>
      </c>
      <c r="C185" t="s">
        <v>12</v>
      </c>
      <c r="D185">
        <v>33918</v>
      </c>
      <c r="E185">
        <v>623</v>
      </c>
      <c r="F185">
        <v>21130914</v>
      </c>
      <c r="G185">
        <v>585</v>
      </c>
      <c r="H185">
        <v>1288884</v>
      </c>
      <c r="I185" t="s">
        <v>17</v>
      </c>
      <c r="J185">
        <v>344118</v>
      </c>
      <c r="K185">
        <v>310200</v>
      </c>
    </row>
    <row r="186" spans="1:11" x14ac:dyDescent="0.25">
      <c r="A186" s="1">
        <v>45586</v>
      </c>
      <c r="B186" t="s">
        <v>16</v>
      </c>
      <c r="C186" t="s">
        <v>14</v>
      </c>
      <c r="D186">
        <v>44818</v>
      </c>
      <c r="E186">
        <v>780</v>
      </c>
      <c r="F186">
        <v>34958040</v>
      </c>
      <c r="G186">
        <v>711</v>
      </c>
      <c r="H186">
        <v>3092442</v>
      </c>
      <c r="I186" t="s">
        <v>13</v>
      </c>
      <c r="J186">
        <v>466468</v>
      </c>
      <c r="K186">
        <v>421650</v>
      </c>
    </row>
    <row r="187" spans="1:11" x14ac:dyDescent="0.25">
      <c r="A187" s="1">
        <v>45586</v>
      </c>
      <c r="B187" t="s">
        <v>16</v>
      </c>
      <c r="C187" t="s">
        <v>15</v>
      </c>
      <c r="D187">
        <v>29111</v>
      </c>
      <c r="E187">
        <v>594</v>
      </c>
      <c r="F187">
        <v>17291934</v>
      </c>
      <c r="G187">
        <v>559</v>
      </c>
      <c r="H187">
        <v>1018885</v>
      </c>
      <c r="I187" t="s">
        <v>13</v>
      </c>
      <c r="J187">
        <v>322177</v>
      </c>
      <c r="K187">
        <v>293066</v>
      </c>
    </row>
    <row r="188" spans="1:11" x14ac:dyDescent="0.25">
      <c r="A188" s="1">
        <v>45586</v>
      </c>
      <c r="B188" t="s">
        <v>18</v>
      </c>
      <c r="C188" t="s">
        <v>12</v>
      </c>
      <c r="D188">
        <v>48746</v>
      </c>
      <c r="E188">
        <v>603</v>
      </c>
      <c r="F188">
        <v>29393838</v>
      </c>
      <c r="G188">
        <v>559</v>
      </c>
      <c r="H188">
        <v>2144824</v>
      </c>
      <c r="I188" t="s">
        <v>13</v>
      </c>
      <c r="J188">
        <v>438213</v>
      </c>
      <c r="K188">
        <v>389467</v>
      </c>
    </row>
    <row r="189" spans="1:11" x14ac:dyDescent="0.25">
      <c r="A189" s="1">
        <v>45586</v>
      </c>
      <c r="B189" t="s">
        <v>18</v>
      </c>
      <c r="C189" t="s">
        <v>14</v>
      </c>
      <c r="D189">
        <v>33234</v>
      </c>
      <c r="E189">
        <v>811</v>
      </c>
      <c r="F189">
        <v>26952774</v>
      </c>
      <c r="G189">
        <v>780</v>
      </c>
      <c r="H189">
        <v>1030254</v>
      </c>
      <c r="I189" t="s">
        <v>17</v>
      </c>
      <c r="J189">
        <v>200846</v>
      </c>
      <c r="K189">
        <v>167612</v>
      </c>
    </row>
    <row r="190" spans="1:11" x14ac:dyDescent="0.25">
      <c r="A190" s="1">
        <v>45586</v>
      </c>
      <c r="B190" t="s">
        <v>18</v>
      </c>
      <c r="C190" t="s">
        <v>15</v>
      </c>
      <c r="D190">
        <v>66514</v>
      </c>
      <c r="E190">
        <v>544</v>
      </c>
      <c r="F190">
        <v>36183616</v>
      </c>
      <c r="G190">
        <v>471</v>
      </c>
      <c r="H190">
        <v>4855522</v>
      </c>
      <c r="I190" t="s">
        <v>13</v>
      </c>
      <c r="J190">
        <v>337541</v>
      </c>
      <c r="K190">
        <v>271027</v>
      </c>
    </row>
    <row r="191" spans="1:11" x14ac:dyDescent="0.25">
      <c r="A191" s="1">
        <v>45587</v>
      </c>
      <c r="B191" t="s">
        <v>11</v>
      </c>
      <c r="C191" t="s">
        <v>12</v>
      </c>
      <c r="D191">
        <v>62101</v>
      </c>
      <c r="E191">
        <v>667</v>
      </c>
      <c r="F191">
        <v>41421367</v>
      </c>
      <c r="G191">
        <v>619</v>
      </c>
      <c r="H191">
        <v>2980848</v>
      </c>
      <c r="I191" t="s">
        <v>17</v>
      </c>
      <c r="J191">
        <v>389139</v>
      </c>
      <c r="K191">
        <v>327038</v>
      </c>
    </row>
    <row r="192" spans="1:11" x14ac:dyDescent="0.25">
      <c r="A192" s="1">
        <v>45587</v>
      </c>
      <c r="B192" t="s">
        <v>11</v>
      </c>
      <c r="C192" t="s">
        <v>14</v>
      </c>
      <c r="D192">
        <v>65587</v>
      </c>
      <c r="E192">
        <v>862</v>
      </c>
      <c r="F192">
        <v>56535994</v>
      </c>
      <c r="G192">
        <v>821</v>
      </c>
      <c r="H192">
        <v>2689067</v>
      </c>
      <c r="I192" t="s">
        <v>13</v>
      </c>
      <c r="J192">
        <v>304537</v>
      </c>
      <c r="K192">
        <v>238950</v>
      </c>
    </row>
    <row r="193" spans="1:11" x14ac:dyDescent="0.25">
      <c r="A193" s="1">
        <v>45587</v>
      </c>
      <c r="B193" t="s">
        <v>11</v>
      </c>
      <c r="C193" t="s">
        <v>15</v>
      </c>
      <c r="D193">
        <v>62533</v>
      </c>
      <c r="E193">
        <v>536</v>
      </c>
      <c r="F193">
        <v>33517688</v>
      </c>
      <c r="G193">
        <v>496</v>
      </c>
      <c r="H193">
        <v>2501320</v>
      </c>
      <c r="I193" t="s">
        <v>13</v>
      </c>
      <c r="J193">
        <v>232254</v>
      </c>
      <c r="K193">
        <v>169721</v>
      </c>
    </row>
    <row r="194" spans="1:11" x14ac:dyDescent="0.25">
      <c r="A194" s="1">
        <v>45587</v>
      </c>
      <c r="B194" t="s">
        <v>16</v>
      </c>
      <c r="C194" t="s">
        <v>12</v>
      </c>
      <c r="D194">
        <v>67362</v>
      </c>
      <c r="E194">
        <v>632</v>
      </c>
      <c r="F194">
        <v>42572784</v>
      </c>
      <c r="G194">
        <v>597</v>
      </c>
      <c r="H194">
        <v>2357670</v>
      </c>
      <c r="I194" t="s">
        <v>13</v>
      </c>
      <c r="J194">
        <v>442353</v>
      </c>
      <c r="K194">
        <v>374991</v>
      </c>
    </row>
    <row r="195" spans="1:11" x14ac:dyDescent="0.25">
      <c r="A195" s="1">
        <v>45587</v>
      </c>
      <c r="B195" t="s">
        <v>16</v>
      </c>
      <c r="C195" t="s">
        <v>14</v>
      </c>
      <c r="D195">
        <v>85545</v>
      </c>
      <c r="E195">
        <v>754</v>
      </c>
      <c r="F195">
        <v>64500930</v>
      </c>
      <c r="G195">
        <v>702</v>
      </c>
      <c r="H195">
        <v>4448340</v>
      </c>
      <c r="I195" t="s">
        <v>13</v>
      </c>
      <c r="J195">
        <v>205287</v>
      </c>
      <c r="K195">
        <v>119742</v>
      </c>
    </row>
    <row r="196" spans="1:11" x14ac:dyDescent="0.25">
      <c r="A196" s="1">
        <v>45587</v>
      </c>
      <c r="B196" t="s">
        <v>16</v>
      </c>
      <c r="C196" t="s">
        <v>15</v>
      </c>
      <c r="D196">
        <v>54387</v>
      </c>
      <c r="E196">
        <v>564</v>
      </c>
      <c r="F196">
        <v>30674268</v>
      </c>
      <c r="G196">
        <v>498</v>
      </c>
      <c r="H196">
        <v>3589542</v>
      </c>
      <c r="I196" t="s">
        <v>17</v>
      </c>
      <c r="J196">
        <v>308872</v>
      </c>
      <c r="K196">
        <v>254485</v>
      </c>
    </row>
    <row r="197" spans="1:11" x14ac:dyDescent="0.25">
      <c r="A197" s="1">
        <v>45587</v>
      </c>
      <c r="B197" t="s">
        <v>18</v>
      </c>
      <c r="C197" t="s">
        <v>12</v>
      </c>
      <c r="D197">
        <v>46614</v>
      </c>
      <c r="E197">
        <v>634</v>
      </c>
      <c r="F197">
        <v>29553276</v>
      </c>
      <c r="G197">
        <v>575</v>
      </c>
      <c r="H197">
        <v>2750226</v>
      </c>
      <c r="I197" t="s">
        <v>17</v>
      </c>
      <c r="J197">
        <v>242078</v>
      </c>
      <c r="K197">
        <v>195464</v>
      </c>
    </row>
    <row r="198" spans="1:11" x14ac:dyDescent="0.25">
      <c r="A198" s="1">
        <v>45587</v>
      </c>
      <c r="B198" t="s">
        <v>18</v>
      </c>
      <c r="C198" t="s">
        <v>14</v>
      </c>
      <c r="D198">
        <v>32219</v>
      </c>
      <c r="E198">
        <v>827</v>
      </c>
      <c r="F198">
        <v>26645113</v>
      </c>
      <c r="G198">
        <v>787</v>
      </c>
      <c r="H198">
        <v>1288760</v>
      </c>
      <c r="I198" t="s">
        <v>13</v>
      </c>
      <c r="J198">
        <v>396513</v>
      </c>
      <c r="K198">
        <v>364294</v>
      </c>
    </row>
    <row r="199" spans="1:11" x14ac:dyDescent="0.25">
      <c r="A199" s="1">
        <v>45587</v>
      </c>
      <c r="B199" t="s">
        <v>18</v>
      </c>
      <c r="C199" t="s">
        <v>15</v>
      </c>
      <c r="D199">
        <v>25415</v>
      </c>
      <c r="E199">
        <v>563</v>
      </c>
      <c r="F199">
        <v>14308645</v>
      </c>
      <c r="G199">
        <v>512</v>
      </c>
      <c r="H199">
        <v>1296165</v>
      </c>
      <c r="I199" t="s">
        <v>17</v>
      </c>
      <c r="J199">
        <v>337023</v>
      </c>
      <c r="K199">
        <v>311608</v>
      </c>
    </row>
    <row r="200" spans="1:11" x14ac:dyDescent="0.25">
      <c r="A200" s="1">
        <v>45588</v>
      </c>
      <c r="B200" t="s">
        <v>11</v>
      </c>
      <c r="C200" t="s">
        <v>12</v>
      </c>
      <c r="D200">
        <v>28007</v>
      </c>
      <c r="E200">
        <v>610</v>
      </c>
      <c r="F200">
        <v>17084270</v>
      </c>
      <c r="G200">
        <v>540</v>
      </c>
      <c r="H200">
        <v>1960490</v>
      </c>
      <c r="I200" t="s">
        <v>13</v>
      </c>
      <c r="J200">
        <v>258596</v>
      </c>
      <c r="K200">
        <v>230589</v>
      </c>
    </row>
    <row r="201" spans="1:11" x14ac:dyDescent="0.25">
      <c r="A201" s="1">
        <v>45588</v>
      </c>
      <c r="B201" t="s">
        <v>11</v>
      </c>
      <c r="C201" t="s">
        <v>14</v>
      </c>
      <c r="D201">
        <v>50523</v>
      </c>
      <c r="E201">
        <v>779</v>
      </c>
      <c r="F201">
        <v>39357417</v>
      </c>
      <c r="G201">
        <v>715</v>
      </c>
      <c r="H201">
        <v>3233472</v>
      </c>
      <c r="I201" t="s">
        <v>17</v>
      </c>
      <c r="J201">
        <v>215524</v>
      </c>
      <c r="K201">
        <v>165001</v>
      </c>
    </row>
    <row r="202" spans="1:11" x14ac:dyDescent="0.25">
      <c r="A202" s="1">
        <v>45588</v>
      </c>
      <c r="B202" t="s">
        <v>11</v>
      </c>
      <c r="C202" t="s">
        <v>15</v>
      </c>
      <c r="D202">
        <v>39282</v>
      </c>
      <c r="E202">
        <v>577</v>
      </c>
      <c r="F202">
        <v>22665714</v>
      </c>
      <c r="G202">
        <v>522</v>
      </c>
      <c r="H202">
        <v>2160510</v>
      </c>
      <c r="I202" t="s">
        <v>13</v>
      </c>
      <c r="J202">
        <v>325501</v>
      </c>
      <c r="K202">
        <v>286219</v>
      </c>
    </row>
    <row r="203" spans="1:11" x14ac:dyDescent="0.25">
      <c r="A203" s="1">
        <v>45588</v>
      </c>
      <c r="B203" t="s">
        <v>16</v>
      </c>
      <c r="C203" t="s">
        <v>12</v>
      </c>
      <c r="D203">
        <v>36984</v>
      </c>
      <c r="E203">
        <v>641</v>
      </c>
      <c r="F203">
        <v>23706744</v>
      </c>
      <c r="G203">
        <v>587</v>
      </c>
      <c r="H203">
        <v>1997136</v>
      </c>
      <c r="I203" t="s">
        <v>17</v>
      </c>
      <c r="J203">
        <v>390279</v>
      </c>
      <c r="K203">
        <v>353295</v>
      </c>
    </row>
    <row r="204" spans="1:11" x14ac:dyDescent="0.25">
      <c r="A204" s="1">
        <v>45588</v>
      </c>
      <c r="B204" t="s">
        <v>16</v>
      </c>
      <c r="C204" t="s">
        <v>14</v>
      </c>
      <c r="D204">
        <v>49287</v>
      </c>
      <c r="E204">
        <v>763</v>
      </c>
      <c r="F204">
        <v>37605981</v>
      </c>
      <c r="G204">
        <v>702</v>
      </c>
      <c r="H204">
        <v>3006507</v>
      </c>
      <c r="I204" t="s">
        <v>17</v>
      </c>
      <c r="J204">
        <v>343026</v>
      </c>
      <c r="K204">
        <v>293739</v>
      </c>
    </row>
    <row r="205" spans="1:11" x14ac:dyDescent="0.25">
      <c r="A205" s="1">
        <v>45588</v>
      </c>
      <c r="B205" t="s">
        <v>16</v>
      </c>
      <c r="C205" t="s">
        <v>15</v>
      </c>
      <c r="D205">
        <v>38574</v>
      </c>
      <c r="E205">
        <v>596</v>
      </c>
      <c r="F205">
        <v>22990104</v>
      </c>
      <c r="G205">
        <v>542</v>
      </c>
      <c r="H205">
        <v>2082996</v>
      </c>
      <c r="I205" t="s">
        <v>17</v>
      </c>
      <c r="J205">
        <v>267728</v>
      </c>
      <c r="K205">
        <v>229154</v>
      </c>
    </row>
    <row r="206" spans="1:11" x14ac:dyDescent="0.25">
      <c r="A206" s="1">
        <v>45588</v>
      </c>
      <c r="B206" t="s">
        <v>18</v>
      </c>
      <c r="C206" t="s">
        <v>12</v>
      </c>
      <c r="D206">
        <v>31246</v>
      </c>
      <c r="E206">
        <v>665</v>
      </c>
      <c r="F206">
        <v>20778590</v>
      </c>
      <c r="G206">
        <v>622</v>
      </c>
      <c r="H206">
        <v>1343578</v>
      </c>
      <c r="I206" t="s">
        <v>17</v>
      </c>
      <c r="J206">
        <v>292263</v>
      </c>
      <c r="K206">
        <v>261017</v>
      </c>
    </row>
    <row r="207" spans="1:11" x14ac:dyDescent="0.25">
      <c r="A207" s="1">
        <v>45588</v>
      </c>
      <c r="B207" t="s">
        <v>18</v>
      </c>
      <c r="C207" t="s">
        <v>14</v>
      </c>
      <c r="D207">
        <v>31302</v>
      </c>
      <c r="E207">
        <v>883</v>
      </c>
      <c r="F207">
        <v>27639666</v>
      </c>
      <c r="G207">
        <v>851</v>
      </c>
      <c r="H207">
        <v>1001664</v>
      </c>
      <c r="I207" t="s">
        <v>17</v>
      </c>
      <c r="J207">
        <v>296646</v>
      </c>
      <c r="K207">
        <v>265344</v>
      </c>
    </row>
    <row r="208" spans="1:11" x14ac:dyDescent="0.25">
      <c r="A208" s="1">
        <v>45588</v>
      </c>
      <c r="B208" t="s">
        <v>18</v>
      </c>
      <c r="C208" t="s">
        <v>15</v>
      </c>
      <c r="D208">
        <v>44519</v>
      </c>
      <c r="E208">
        <v>541</v>
      </c>
      <c r="F208">
        <v>24084779</v>
      </c>
      <c r="G208">
        <v>497</v>
      </c>
      <c r="H208">
        <v>1958836</v>
      </c>
      <c r="I208" t="s">
        <v>13</v>
      </c>
      <c r="J208">
        <v>467552</v>
      </c>
      <c r="K208">
        <v>423033</v>
      </c>
    </row>
    <row r="209" spans="1:11" x14ac:dyDescent="0.25">
      <c r="A209" s="1">
        <v>45589</v>
      </c>
      <c r="B209" t="s">
        <v>11</v>
      </c>
      <c r="C209" t="s">
        <v>12</v>
      </c>
      <c r="D209">
        <v>45053</v>
      </c>
      <c r="E209">
        <v>626</v>
      </c>
      <c r="F209">
        <v>28203178</v>
      </c>
      <c r="G209">
        <v>561</v>
      </c>
      <c r="H209">
        <v>2928445</v>
      </c>
      <c r="I209" t="s">
        <v>13</v>
      </c>
      <c r="J209">
        <v>251356</v>
      </c>
      <c r="K209">
        <v>206303</v>
      </c>
    </row>
    <row r="210" spans="1:11" x14ac:dyDescent="0.25">
      <c r="A210" s="1">
        <v>45589</v>
      </c>
      <c r="B210" t="s">
        <v>11</v>
      </c>
      <c r="C210" t="s">
        <v>14</v>
      </c>
      <c r="D210">
        <v>86656</v>
      </c>
      <c r="E210">
        <v>782</v>
      </c>
      <c r="F210">
        <v>67764992</v>
      </c>
      <c r="G210">
        <v>749</v>
      </c>
      <c r="H210">
        <v>2859648</v>
      </c>
      <c r="I210" t="s">
        <v>13</v>
      </c>
      <c r="J210">
        <v>481173</v>
      </c>
      <c r="K210">
        <v>394517</v>
      </c>
    </row>
    <row r="211" spans="1:11" x14ac:dyDescent="0.25">
      <c r="A211" s="1">
        <v>45589</v>
      </c>
      <c r="B211" t="s">
        <v>11</v>
      </c>
      <c r="C211" t="s">
        <v>15</v>
      </c>
      <c r="D211">
        <v>52265</v>
      </c>
      <c r="E211">
        <v>504</v>
      </c>
      <c r="F211">
        <v>26341560</v>
      </c>
      <c r="G211">
        <v>465</v>
      </c>
      <c r="H211">
        <v>2038335</v>
      </c>
      <c r="I211" t="s">
        <v>13</v>
      </c>
      <c r="J211">
        <v>374944</v>
      </c>
      <c r="K211">
        <v>322679</v>
      </c>
    </row>
    <row r="212" spans="1:11" x14ac:dyDescent="0.25">
      <c r="A212" s="1">
        <v>45589</v>
      </c>
      <c r="B212" t="s">
        <v>16</v>
      </c>
      <c r="C212" t="s">
        <v>12</v>
      </c>
      <c r="D212">
        <v>75180</v>
      </c>
      <c r="E212">
        <v>630</v>
      </c>
      <c r="F212">
        <v>47363400</v>
      </c>
      <c r="G212">
        <v>554</v>
      </c>
      <c r="H212">
        <v>5713680</v>
      </c>
      <c r="I212" t="s">
        <v>17</v>
      </c>
      <c r="J212">
        <v>271907</v>
      </c>
      <c r="K212">
        <v>196727</v>
      </c>
    </row>
    <row r="213" spans="1:11" x14ac:dyDescent="0.25">
      <c r="A213" s="1">
        <v>45589</v>
      </c>
      <c r="B213" t="s">
        <v>16</v>
      </c>
      <c r="C213" t="s">
        <v>14</v>
      </c>
      <c r="D213">
        <v>84435</v>
      </c>
      <c r="E213">
        <v>764</v>
      </c>
      <c r="F213">
        <v>64508340</v>
      </c>
      <c r="G213">
        <v>706</v>
      </c>
      <c r="H213">
        <v>4897230</v>
      </c>
      <c r="I213" t="s">
        <v>17</v>
      </c>
      <c r="J213">
        <v>482247</v>
      </c>
      <c r="K213">
        <v>397812</v>
      </c>
    </row>
    <row r="214" spans="1:11" x14ac:dyDescent="0.25">
      <c r="A214" s="1">
        <v>45589</v>
      </c>
      <c r="B214" t="s">
        <v>16</v>
      </c>
      <c r="C214" t="s">
        <v>15</v>
      </c>
      <c r="D214">
        <v>34382</v>
      </c>
      <c r="E214">
        <v>567</v>
      </c>
      <c r="F214">
        <v>19494594</v>
      </c>
      <c r="G214">
        <v>526</v>
      </c>
      <c r="H214">
        <v>1409662</v>
      </c>
      <c r="I214" t="s">
        <v>13</v>
      </c>
      <c r="J214">
        <v>334828</v>
      </c>
      <c r="K214">
        <v>300446</v>
      </c>
    </row>
    <row r="215" spans="1:11" x14ac:dyDescent="0.25">
      <c r="A215" s="1">
        <v>45589</v>
      </c>
      <c r="B215" t="s">
        <v>18</v>
      </c>
      <c r="C215" t="s">
        <v>12</v>
      </c>
      <c r="D215">
        <v>36478</v>
      </c>
      <c r="E215">
        <v>635</v>
      </c>
      <c r="F215">
        <v>23163530</v>
      </c>
      <c r="G215">
        <v>570</v>
      </c>
      <c r="H215">
        <v>2371070</v>
      </c>
      <c r="I215" t="s">
        <v>17</v>
      </c>
      <c r="J215">
        <v>330330</v>
      </c>
      <c r="K215">
        <v>293852</v>
      </c>
    </row>
    <row r="216" spans="1:11" x14ac:dyDescent="0.25">
      <c r="A216" s="1">
        <v>45589</v>
      </c>
      <c r="B216" t="s">
        <v>18</v>
      </c>
      <c r="C216" t="s">
        <v>14</v>
      </c>
      <c r="D216">
        <v>34153</v>
      </c>
      <c r="E216">
        <v>853</v>
      </c>
      <c r="F216">
        <v>29132509</v>
      </c>
      <c r="G216">
        <v>786</v>
      </c>
      <c r="H216">
        <v>2288251</v>
      </c>
      <c r="I216" t="s">
        <v>13</v>
      </c>
      <c r="J216">
        <v>440773</v>
      </c>
      <c r="K216">
        <v>406620</v>
      </c>
    </row>
    <row r="217" spans="1:11" x14ac:dyDescent="0.25">
      <c r="A217" s="1">
        <v>45589</v>
      </c>
      <c r="B217" t="s">
        <v>18</v>
      </c>
      <c r="C217" t="s">
        <v>15</v>
      </c>
      <c r="D217">
        <v>75318</v>
      </c>
      <c r="E217">
        <v>546</v>
      </c>
      <c r="F217">
        <v>41123628</v>
      </c>
      <c r="G217">
        <v>491</v>
      </c>
      <c r="H217">
        <v>4142490</v>
      </c>
      <c r="I217" t="s">
        <v>17</v>
      </c>
      <c r="J217">
        <v>276077</v>
      </c>
      <c r="K217">
        <v>200759</v>
      </c>
    </row>
    <row r="218" spans="1:11" x14ac:dyDescent="0.25">
      <c r="A218" s="1">
        <v>45590</v>
      </c>
      <c r="B218" t="s">
        <v>11</v>
      </c>
      <c r="C218" t="s">
        <v>12</v>
      </c>
      <c r="D218">
        <v>22443</v>
      </c>
      <c r="E218">
        <v>689</v>
      </c>
      <c r="F218">
        <v>15463227</v>
      </c>
      <c r="G218">
        <v>647</v>
      </c>
      <c r="H218">
        <v>942606</v>
      </c>
      <c r="I218" t="s">
        <v>13</v>
      </c>
      <c r="J218">
        <v>325885</v>
      </c>
      <c r="K218">
        <v>303442</v>
      </c>
    </row>
    <row r="219" spans="1:11" x14ac:dyDescent="0.25">
      <c r="A219" s="1">
        <v>45590</v>
      </c>
      <c r="B219" t="s">
        <v>11</v>
      </c>
      <c r="C219" t="s">
        <v>14</v>
      </c>
      <c r="D219">
        <v>37368</v>
      </c>
      <c r="E219">
        <v>860</v>
      </c>
      <c r="F219">
        <v>32136480</v>
      </c>
      <c r="G219">
        <v>791</v>
      </c>
      <c r="H219">
        <v>2578392</v>
      </c>
      <c r="I219" t="s">
        <v>17</v>
      </c>
      <c r="J219">
        <v>430203</v>
      </c>
      <c r="K219">
        <v>392835</v>
      </c>
    </row>
    <row r="220" spans="1:11" x14ac:dyDescent="0.25">
      <c r="A220" s="1">
        <v>45590</v>
      </c>
      <c r="B220" t="s">
        <v>11</v>
      </c>
      <c r="C220" t="s">
        <v>15</v>
      </c>
      <c r="D220">
        <v>59915</v>
      </c>
      <c r="E220">
        <v>599</v>
      </c>
      <c r="F220">
        <v>35889085</v>
      </c>
      <c r="G220">
        <v>522</v>
      </c>
      <c r="H220">
        <v>4613455</v>
      </c>
      <c r="I220" t="s">
        <v>13</v>
      </c>
      <c r="J220">
        <v>395716</v>
      </c>
      <c r="K220">
        <v>335801</v>
      </c>
    </row>
    <row r="221" spans="1:11" x14ac:dyDescent="0.25">
      <c r="A221" s="1">
        <v>45590</v>
      </c>
      <c r="B221" t="s">
        <v>16</v>
      </c>
      <c r="C221" t="s">
        <v>12</v>
      </c>
      <c r="D221">
        <v>73028</v>
      </c>
      <c r="E221">
        <v>671</v>
      </c>
      <c r="F221">
        <v>49001788</v>
      </c>
      <c r="G221">
        <v>600</v>
      </c>
      <c r="H221">
        <v>5184988</v>
      </c>
      <c r="I221" t="s">
        <v>13</v>
      </c>
      <c r="J221">
        <v>227632</v>
      </c>
      <c r="K221">
        <v>154604</v>
      </c>
    </row>
    <row r="222" spans="1:11" x14ac:dyDescent="0.25">
      <c r="A222" s="1">
        <v>45590</v>
      </c>
      <c r="B222" t="s">
        <v>16</v>
      </c>
      <c r="C222" t="s">
        <v>14</v>
      </c>
      <c r="D222">
        <v>85310</v>
      </c>
      <c r="E222">
        <v>871</v>
      </c>
      <c r="F222">
        <v>74305010</v>
      </c>
      <c r="G222">
        <v>833</v>
      </c>
      <c r="H222">
        <v>3241780</v>
      </c>
      <c r="I222" t="s">
        <v>17</v>
      </c>
      <c r="J222">
        <v>450869</v>
      </c>
      <c r="K222">
        <v>365559</v>
      </c>
    </row>
    <row r="223" spans="1:11" x14ac:dyDescent="0.25">
      <c r="A223" s="1">
        <v>45590</v>
      </c>
      <c r="B223" t="s">
        <v>16</v>
      </c>
      <c r="C223" t="s">
        <v>15</v>
      </c>
      <c r="D223">
        <v>64327</v>
      </c>
      <c r="E223">
        <v>540</v>
      </c>
      <c r="F223">
        <v>34736580</v>
      </c>
      <c r="G223">
        <v>489</v>
      </c>
      <c r="H223">
        <v>3280677</v>
      </c>
      <c r="I223" t="s">
        <v>17</v>
      </c>
      <c r="J223">
        <v>378954</v>
      </c>
      <c r="K223">
        <v>314627</v>
      </c>
    </row>
    <row r="224" spans="1:11" x14ac:dyDescent="0.25">
      <c r="A224" s="1">
        <v>45590</v>
      </c>
      <c r="B224" t="s">
        <v>18</v>
      </c>
      <c r="C224" t="s">
        <v>12</v>
      </c>
      <c r="D224">
        <v>54560</v>
      </c>
      <c r="E224">
        <v>645</v>
      </c>
      <c r="F224">
        <v>35191200</v>
      </c>
      <c r="G224">
        <v>579</v>
      </c>
      <c r="H224">
        <v>3600960</v>
      </c>
      <c r="I224" t="s">
        <v>13</v>
      </c>
      <c r="J224">
        <v>332717</v>
      </c>
      <c r="K224">
        <v>278157</v>
      </c>
    </row>
    <row r="225" spans="1:11" x14ac:dyDescent="0.25">
      <c r="A225" s="1">
        <v>45590</v>
      </c>
      <c r="B225" t="s">
        <v>18</v>
      </c>
      <c r="C225" t="s">
        <v>14</v>
      </c>
      <c r="D225">
        <v>39256</v>
      </c>
      <c r="E225">
        <v>750</v>
      </c>
      <c r="F225">
        <v>29442000</v>
      </c>
      <c r="G225">
        <v>681</v>
      </c>
      <c r="H225">
        <v>2708664</v>
      </c>
      <c r="I225" t="s">
        <v>17</v>
      </c>
      <c r="J225">
        <v>342766</v>
      </c>
      <c r="K225">
        <v>303510</v>
      </c>
    </row>
    <row r="226" spans="1:11" x14ac:dyDescent="0.25">
      <c r="A226" s="1">
        <v>45590</v>
      </c>
      <c r="B226" t="s">
        <v>18</v>
      </c>
      <c r="C226" t="s">
        <v>15</v>
      </c>
      <c r="D226">
        <v>77545</v>
      </c>
      <c r="E226">
        <v>551</v>
      </c>
      <c r="F226">
        <v>42727295</v>
      </c>
      <c r="G226">
        <v>496</v>
      </c>
      <c r="H226">
        <v>4264975</v>
      </c>
      <c r="I226" t="s">
        <v>17</v>
      </c>
      <c r="J226">
        <v>213224</v>
      </c>
      <c r="K226">
        <v>135679</v>
      </c>
    </row>
    <row r="227" spans="1:11" x14ac:dyDescent="0.25">
      <c r="A227" s="1">
        <v>45591</v>
      </c>
      <c r="B227" t="s">
        <v>11</v>
      </c>
      <c r="C227" t="s">
        <v>12</v>
      </c>
      <c r="D227">
        <v>45150</v>
      </c>
      <c r="E227">
        <v>624</v>
      </c>
      <c r="F227">
        <v>28173600</v>
      </c>
      <c r="G227">
        <v>569</v>
      </c>
      <c r="H227">
        <v>2483250</v>
      </c>
      <c r="I227" t="s">
        <v>13</v>
      </c>
      <c r="J227">
        <v>439690</v>
      </c>
      <c r="K227">
        <v>394540</v>
      </c>
    </row>
    <row r="228" spans="1:11" x14ac:dyDescent="0.25">
      <c r="A228" s="1">
        <v>45591</v>
      </c>
      <c r="B228" t="s">
        <v>11</v>
      </c>
      <c r="C228" t="s">
        <v>14</v>
      </c>
      <c r="D228">
        <v>28577</v>
      </c>
      <c r="E228">
        <v>884</v>
      </c>
      <c r="F228">
        <v>25262068</v>
      </c>
      <c r="G228">
        <v>837</v>
      </c>
      <c r="H228">
        <v>1343119</v>
      </c>
      <c r="I228" t="s">
        <v>13</v>
      </c>
      <c r="J228">
        <v>208666</v>
      </c>
      <c r="K228">
        <v>180089</v>
      </c>
    </row>
    <row r="229" spans="1:11" x14ac:dyDescent="0.25">
      <c r="A229" s="1">
        <v>45591</v>
      </c>
      <c r="B229" t="s">
        <v>11</v>
      </c>
      <c r="C229" t="s">
        <v>15</v>
      </c>
      <c r="D229">
        <v>56368</v>
      </c>
      <c r="E229">
        <v>542</v>
      </c>
      <c r="F229">
        <v>30551456</v>
      </c>
      <c r="G229">
        <v>469</v>
      </c>
      <c r="H229">
        <v>4114864</v>
      </c>
      <c r="I229" t="s">
        <v>17</v>
      </c>
      <c r="J229">
        <v>327738</v>
      </c>
      <c r="K229">
        <v>271370</v>
      </c>
    </row>
    <row r="230" spans="1:11" x14ac:dyDescent="0.25">
      <c r="A230" s="1">
        <v>45591</v>
      </c>
      <c r="B230" t="s">
        <v>16</v>
      </c>
      <c r="C230" t="s">
        <v>12</v>
      </c>
      <c r="D230">
        <v>87526</v>
      </c>
      <c r="E230">
        <v>651</v>
      </c>
      <c r="F230">
        <v>56979426</v>
      </c>
      <c r="G230">
        <v>616</v>
      </c>
      <c r="H230">
        <v>3063410</v>
      </c>
      <c r="I230" t="s">
        <v>13</v>
      </c>
      <c r="J230">
        <v>482100</v>
      </c>
      <c r="K230">
        <v>394574</v>
      </c>
    </row>
    <row r="231" spans="1:11" x14ac:dyDescent="0.25">
      <c r="A231" s="1">
        <v>45591</v>
      </c>
      <c r="B231" t="s">
        <v>16</v>
      </c>
      <c r="C231" t="s">
        <v>14</v>
      </c>
      <c r="D231">
        <v>66240</v>
      </c>
      <c r="E231">
        <v>778</v>
      </c>
      <c r="F231">
        <v>51534720</v>
      </c>
      <c r="G231">
        <v>706</v>
      </c>
      <c r="H231">
        <v>4769280</v>
      </c>
      <c r="I231" t="s">
        <v>13</v>
      </c>
      <c r="J231">
        <v>466901</v>
      </c>
      <c r="K231">
        <v>400661</v>
      </c>
    </row>
    <row r="232" spans="1:11" x14ac:dyDescent="0.25">
      <c r="A232" s="1">
        <v>45591</v>
      </c>
      <c r="B232" t="s">
        <v>16</v>
      </c>
      <c r="C232" t="s">
        <v>15</v>
      </c>
      <c r="D232">
        <v>30395</v>
      </c>
      <c r="E232">
        <v>584</v>
      </c>
      <c r="F232">
        <v>17750680</v>
      </c>
      <c r="G232">
        <v>506</v>
      </c>
      <c r="H232">
        <v>2370810</v>
      </c>
      <c r="I232" t="s">
        <v>17</v>
      </c>
      <c r="J232">
        <v>446726</v>
      </c>
      <c r="K232">
        <v>416331</v>
      </c>
    </row>
    <row r="233" spans="1:11" x14ac:dyDescent="0.25">
      <c r="A233" s="1">
        <v>45591</v>
      </c>
      <c r="B233" t="s">
        <v>18</v>
      </c>
      <c r="C233" t="s">
        <v>12</v>
      </c>
      <c r="D233">
        <v>66163</v>
      </c>
      <c r="E233">
        <v>648</v>
      </c>
      <c r="F233">
        <v>42873624</v>
      </c>
      <c r="G233">
        <v>599</v>
      </c>
      <c r="H233">
        <v>3241987</v>
      </c>
      <c r="I233" t="s">
        <v>13</v>
      </c>
      <c r="J233">
        <v>355989</v>
      </c>
      <c r="K233">
        <v>289826</v>
      </c>
    </row>
    <row r="234" spans="1:11" x14ac:dyDescent="0.25">
      <c r="A234" s="1">
        <v>45591</v>
      </c>
      <c r="B234" t="s">
        <v>18</v>
      </c>
      <c r="C234" t="s">
        <v>14</v>
      </c>
      <c r="D234">
        <v>41566</v>
      </c>
      <c r="E234">
        <v>853</v>
      </c>
      <c r="F234">
        <v>35455798</v>
      </c>
      <c r="G234">
        <v>775</v>
      </c>
      <c r="H234">
        <v>3242148</v>
      </c>
      <c r="I234" t="s">
        <v>17</v>
      </c>
      <c r="J234">
        <v>351878</v>
      </c>
      <c r="K234">
        <v>310312</v>
      </c>
    </row>
    <row r="235" spans="1:11" x14ac:dyDescent="0.25">
      <c r="A235" s="1">
        <v>45591</v>
      </c>
      <c r="B235" t="s">
        <v>18</v>
      </c>
      <c r="C235" t="s">
        <v>15</v>
      </c>
      <c r="D235">
        <v>21759</v>
      </c>
      <c r="E235">
        <v>512</v>
      </c>
      <c r="F235">
        <v>11140608</v>
      </c>
      <c r="G235">
        <v>453</v>
      </c>
      <c r="H235">
        <v>1283781</v>
      </c>
      <c r="I235" t="s">
        <v>17</v>
      </c>
      <c r="J235">
        <v>333554</v>
      </c>
      <c r="K235">
        <v>311795</v>
      </c>
    </row>
    <row r="236" spans="1:11" x14ac:dyDescent="0.25">
      <c r="A236" s="1">
        <v>45592</v>
      </c>
      <c r="B236" t="s">
        <v>11</v>
      </c>
      <c r="C236" t="s">
        <v>12</v>
      </c>
      <c r="D236">
        <v>53719</v>
      </c>
      <c r="E236">
        <v>682</v>
      </c>
      <c r="F236">
        <v>36636358</v>
      </c>
      <c r="G236">
        <v>621</v>
      </c>
      <c r="H236">
        <v>3276859</v>
      </c>
      <c r="I236" t="s">
        <v>17</v>
      </c>
      <c r="J236">
        <v>259676</v>
      </c>
      <c r="K236">
        <v>205957</v>
      </c>
    </row>
    <row r="237" spans="1:11" x14ac:dyDescent="0.25">
      <c r="A237" s="1">
        <v>45592</v>
      </c>
      <c r="B237" t="s">
        <v>11</v>
      </c>
      <c r="C237" t="s">
        <v>14</v>
      </c>
      <c r="D237">
        <v>62460</v>
      </c>
      <c r="E237">
        <v>779</v>
      </c>
      <c r="F237">
        <v>48656340</v>
      </c>
      <c r="G237">
        <v>734</v>
      </c>
      <c r="H237">
        <v>2810700</v>
      </c>
      <c r="I237" t="s">
        <v>17</v>
      </c>
      <c r="J237">
        <v>293607</v>
      </c>
      <c r="K237">
        <v>231147</v>
      </c>
    </row>
    <row r="238" spans="1:11" x14ac:dyDescent="0.25">
      <c r="A238" s="1">
        <v>45592</v>
      </c>
      <c r="B238" t="s">
        <v>11</v>
      </c>
      <c r="C238" t="s">
        <v>15</v>
      </c>
      <c r="D238">
        <v>38449</v>
      </c>
      <c r="E238">
        <v>500</v>
      </c>
      <c r="F238">
        <v>19224500</v>
      </c>
      <c r="G238">
        <v>457</v>
      </c>
      <c r="H238">
        <v>1653307</v>
      </c>
      <c r="I238" t="s">
        <v>13</v>
      </c>
      <c r="J238">
        <v>379374</v>
      </c>
      <c r="K238">
        <v>340925</v>
      </c>
    </row>
    <row r="239" spans="1:11" x14ac:dyDescent="0.25">
      <c r="A239" s="1">
        <v>45592</v>
      </c>
      <c r="B239" t="s">
        <v>16</v>
      </c>
      <c r="C239" t="s">
        <v>12</v>
      </c>
      <c r="D239">
        <v>48865</v>
      </c>
      <c r="E239">
        <v>691</v>
      </c>
      <c r="F239">
        <v>33765715</v>
      </c>
      <c r="G239">
        <v>613</v>
      </c>
      <c r="H239">
        <v>3811470</v>
      </c>
      <c r="I239" t="s">
        <v>13</v>
      </c>
      <c r="J239">
        <v>226737</v>
      </c>
      <c r="K239">
        <v>177872</v>
      </c>
    </row>
    <row r="240" spans="1:11" x14ac:dyDescent="0.25">
      <c r="A240" s="1">
        <v>45592</v>
      </c>
      <c r="B240" t="s">
        <v>16</v>
      </c>
      <c r="C240" t="s">
        <v>14</v>
      </c>
      <c r="D240">
        <v>58565</v>
      </c>
      <c r="E240">
        <v>812</v>
      </c>
      <c r="F240">
        <v>47554780</v>
      </c>
      <c r="G240">
        <v>779</v>
      </c>
      <c r="H240">
        <v>1932645</v>
      </c>
      <c r="I240" t="s">
        <v>13</v>
      </c>
      <c r="J240">
        <v>386240</v>
      </c>
      <c r="K240">
        <v>327675</v>
      </c>
    </row>
    <row r="241" spans="1:11" x14ac:dyDescent="0.25">
      <c r="A241" s="1">
        <v>45592</v>
      </c>
      <c r="B241" t="s">
        <v>16</v>
      </c>
      <c r="C241" t="s">
        <v>15</v>
      </c>
      <c r="D241">
        <v>32342</v>
      </c>
      <c r="E241">
        <v>502</v>
      </c>
      <c r="F241">
        <v>16235684</v>
      </c>
      <c r="G241">
        <v>441</v>
      </c>
      <c r="H241">
        <v>1972862</v>
      </c>
      <c r="I241" t="s">
        <v>17</v>
      </c>
      <c r="J241">
        <v>383675</v>
      </c>
      <c r="K241">
        <v>351333</v>
      </c>
    </row>
    <row r="242" spans="1:11" x14ac:dyDescent="0.25">
      <c r="A242" s="1">
        <v>45592</v>
      </c>
      <c r="B242" t="s">
        <v>18</v>
      </c>
      <c r="C242" t="s">
        <v>12</v>
      </c>
      <c r="D242">
        <v>46399</v>
      </c>
      <c r="E242">
        <v>649</v>
      </c>
      <c r="F242">
        <v>30112951</v>
      </c>
      <c r="G242">
        <v>613</v>
      </c>
      <c r="H242">
        <v>1670364</v>
      </c>
      <c r="I242" t="s">
        <v>17</v>
      </c>
      <c r="J242">
        <v>309575</v>
      </c>
      <c r="K242">
        <v>263176</v>
      </c>
    </row>
    <row r="243" spans="1:11" x14ac:dyDescent="0.25">
      <c r="A243" s="1">
        <v>45592</v>
      </c>
      <c r="B243" t="s">
        <v>18</v>
      </c>
      <c r="C243" t="s">
        <v>14</v>
      </c>
      <c r="D243">
        <v>75106</v>
      </c>
      <c r="E243">
        <v>821</v>
      </c>
      <c r="F243">
        <v>61662026</v>
      </c>
      <c r="G243">
        <v>745</v>
      </c>
      <c r="H243">
        <v>5708056</v>
      </c>
      <c r="I243" t="s">
        <v>17</v>
      </c>
      <c r="J243">
        <v>239986</v>
      </c>
      <c r="K243">
        <v>164880</v>
      </c>
    </row>
    <row r="244" spans="1:11" x14ac:dyDescent="0.25">
      <c r="A244" s="1">
        <v>45592</v>
      </c>
      <c r="B244" t="s">
        <v>18</v>
      </c>
      <c r="C244" t="s">
        <v>15</v>
      </c>
      <c r="D244">
        <v>84929</v>
      </c>
      <c r="E244">
        <v>534</v>
      </c>
      <c r="F244">
        <v>45352086</v>
      </c>
      <c r="G244">
        <v>473</v>
      </c>
      <c r="H244">
        <v>5180669</v>
      </c>
      <c r="I244" t="s">
        <v>13</v>
      </c>
      <c r="J244">
        <v>406111</v>
      </c>
      <c r="K244">
        <v>321182</v>
      </c>
    </row>
    <row r="245" spans="1:11" x14ac:dyDescent="0.25">
      <c r="A245" s="1">
        <v>45593</v>
      </c>
      <c r="B245" t="s">
        <v>11</v>
      </c>
      <c r="C245" t="s">
        <v>12</v>
      </c>
      <c r="D245">
        <v>32175</v>
      </c>
      <c r="E245">
        <v>667</v>
      </c>
      <c r="F245">
        <v>21460725</v>
      </c>
      <c r="G245">
        <v>601</v>
      </c>
      <c r="H245">
        <v>2123550</v>
      </c>
      <c r="I245" t="s">
        <v>13</v>
      </c>
      <c r="J245">
        <v>321300</v>
      </c>
      <c r="K245">
        <v>289125</v>
      </c>
    </row>
    <row r="246" spans="1:11" x14ac:dyDescent="0.25">
      <c r="A246" s="1">
        <v>45593</v>
      </c>
      <c r="B246" t="s">
        <v>11</v>
      </c>
      <c r="C246" t="s">
        <v>14</v>
      </c>
      <c r="D246">
        <v>86358</v>
      </c>
      <c r="E246">
        <v>756</v>
      </c>
      <c r="F246">
        <v>65286648</v>
      </c>
      <c r="G246">
        <v>717</v>
      </c>
      <c r="H246">
        <v>3367962</v>
      </c>
      <c r="I246" t="s">
        <v>17</v>
      </c>
      <c r="J246">
        <v>454726</v>
      </c>
      <c r="K246">
        <v>368368</v>
      </c>
    </row>
    <row r="247" spans="1:11" x14ac:dyDescent="0.25">
      <c r="A247" s="1">
        <v>45593</v>
      </c>
      <c r="B247" t="s">
        <v>11</v>
      </c>
      <c r="C247" t="s">
        <v>15</v>
      </c>
      <c r="D247">
        <v>22198</v>
      </c>
      <c r="E247">
        <v>584</v>
      </c>
      <c r="F247">
        <v>12963632</v>
      </c>
      <c r="G247">
        <v>536</v>
      </c>
      <c r="H247">
        <v>1065504</v>
      </c>
      <c r="I247" t="s">
        <v>17</v>
      </c>
      <c r="J247">
        <v>367292</v>
      </c>
      <c r="K247">
        <v>345094</v>
      </c>
    </row>
    <row r="248" spans="1:11" x14ac:dyDescent="0.25">
      <c r="A248" s="1">
        <v>45593</v>
      </c>
      <c r="B248" t="s">
        <v>16</v>
      </c>
      <c r="C248" t="s">
        <v>12</v>
      </c>
      <c r="D248">
        <v>33859</v>
      </c>
      <c r="E248">
        <v>628</v>
      </c>
      <c r="F248">
        <v>21263452</v>
      </c>
      <c r="G248">
        <v>581</v>
      </c>
      <c r="H248">
        <v>1591373</v>
      </c>
      <c r="I248" t="s">
        <v>17</v>
      </c>
      <c r="J248">
        <v>460910</v>
      </c>
      <c r="K248">
        <v>427051</v>
      </c>
    </row>
    <row r="249" spans="1:11" x14ac:dyDescent="0.25">
      <c r="A249" s="1">
        <v>45593</v>
      </c>
      <c r="B249" t="s">
        <v>16</v>
      </c>
      <c r="C249" t="s">
        <v>14</v>
      </c>
      <c r="D249">
        <v>35358</v>
      </c>
      <c r="E249">
        <v>879</v>
      </c>
      <c r="F249">
        <v>31079682</v>
      </c>
      <c r="G249">
        <v>847</v>
      </c>
      <c r="H249">
        <v>1131456</v>
      </c>
      <c r="I249" t="s">
        <v>13</v>
      </c>
      <c r="J249">
        <v>407990</v>
      </c>
      <c r="K249">
        <v>372632</v>
      </c>
    </row>
    <row r="250" spans="1:11" x14ac:dyDescent="0.25">
      <c r="A250" s="1">
        <v>45593</v>
      </c>
      <c r="B250" t="s">
        <v>16</v>
      </c>
      <c r="C250" t="s">
        <v>15</v>
      </c>
      <c r="D250">
        <v>34596</v>
      </c>
      <c r="E250">
        <v>536</v>
      </c>
      <c r="F250">
        <v>18543456</v>
      </c>
      <c r="G250">
        <v>469</v>
      </c>
      <c r="H250">
        <v>2317932</v>
      </c>
      <c r="I250" t="s">
        <v>13</v>
      </c>
      <c r="J250">
        <v>332351</v>
      </c>
      <c r="K250">
        <v>297755</v>
      </c>
    </row>
    <row r="251" spans="1:11" x14ac:dyDescent="0.25">
      <c r="A251" s="1">
        <v>45593</v>
      </c>
      <c r="B251" t="s">
        <v>18</v>
      </c>
      <c r="C251" t="s">
        <v>12</v>
      </c>
      <c r="D251">
        <v>82516</v>
      </c>
      <c r="E251">
        <v>643</v>
      </c>
      <c r="F251">
        <v>53057788</v>
      </c>
      <c r="G251">
        <v>579</v>
      </c>
      <c r="H251">
        <v>5281024</v>
      </c>
      <c r="I251" t="s">
        <v>13</v>
      </c>
      <c r="J251">
        <v>457529</v>
      </c>
      <c r="K251">
        <v>375013</v>
      </c>
    </row>
    <row r="252" spans="1:11" x14ac:dyDescent="0.25">
      <c r="A252" s="1">
        <v>45593</v>
      </c>
      <c r="B252" t="s">
        <v>18</v>
      </c>
      <c r="C252" t="s">
        <v>14</v>
      </c>
      <c r="D252">
        <v>37771</v>
      </c>
      <c r="E252">
        <v>773</v>
      </c>
      <c r="F252">
        <v>29196983</v>
      </c>
      <c r="G252">
        <v>727</v>
      </c>
      <c r="H252">
        <v>1737466</v>
      </c>
      <c r="I252" t="s">
        <v>13</v>
      </c>
      <c r="J252">
        <v>456713</v>
      </c>
      <c r="K252">
        <v>418942</v>
      </c>
    </row>
    <row r="253" spans="1:11" x14ac:dyDescent="0.25">
      <c r="A253" s="1">
        <v>45593</v>
      </c>
      <c r="B253" t="s">
        <v>18</v>
      </c>
      <c r="C253" t="s">
        <v>15</v>
      </c>
      <c r="D253">
        <v>39063</v>
      </c>
      <c r="E253">
        <v>558</v>
      </c>
      <c r="F253">
        <v>21797154</v>
      </c>
      <c r="G253">
        <v>483</v>
      </c>
      <c r="H253">
        <v>2929725</v>
      </c>
      <c r="I253" t="s">
        <v>13</v>
      </c>
      <c r="J253">
        <v>417215</v>
      </c>
      <c r="K253">
        <v>378152</v>
      </c>
    </row>
    <row r="254" spans="1:11" x14ac:dyDescent="0.25">
      <c r="A254" s="1">
        <v>45594</v>
      </c>
      <c r="B254" t="s">
        <v>11</v>
      </c>
      <c r="C254" t="s">
        <v>12</v>
      </c>
      <c r="D254">
        <v>71920</v>
      </c>
      <c r="E254">
        <v>680</v>
      </c>
      <c r="F254">
        <v>48905600</v>
      </c>
      <c r="G254">
        <v>637</v>
      </c>
      <c r="H254">
        <v>3092560</v>
      </c>
      <c r="I254" t="s">
        <v>13</v>
      </c>
      <c r="J254">
        <v>235367</v>
      </c>
      <c r="K254">
        <v>163447</v>
      </c>
    </row>
    <row r="255" spans="1:11" x14ac:dyDescent="0.25">
      <c r="A255" s="1">
        <v>45594</v>
      </c>
      <c r="B255" t="s">
        <v>11</v>
      </c>
      <c r="C255" t="s">
        <v>14</v>
      </c>
      <c r="D255">
        <v>80774</v>
      </c>
      <c r="E255">
        <v>771</v>
      </c>
      <c r="F255">
        <v>62276754</v>
      </c>
      <c r="G255">
        <v>699</v>
      </c>
      <c r="H255">
        <v>5815728</v>
      </c>
      <c r="I255" t="s">
        <v>13</v>
      </c>
      <c r="J255">
        <v>316739</v>
      </c>
      <c r="K255">
        <v>235965</v>
      </c>
    </row>
    <row r="256" spans="1:11" x14ac:dyDescent="0.25">
      <c r="A256" s="1">
        <v>45594</v>
      </c>
      <c r="B256" t="s">
        <v>11</v>
      </c>
      <c r="C256" t="s">
        <v>15</v>
      </c>
      <c r="D256">
        <v>76133</v>
      </c>
      <c r="E256">
        <v>517</v>
      </c>
      <c r="F256">
        <v>39360761</v>
      </c>
      <c r="G256">
        <v>467</v>
      </c>
      <c r="H256">
        <v>3806650</v>
      </c>
      <c r="I256" t="s">
        <v>13</v>
      </c>
      <c r="J256">
        <v>388456</v>
      </c>
      <c r="K256">
        <v>312323</v>
      </c>
    </row>
    <row r="257" spans="1:11" x14ac:dyDescent="0.25">
      <c r="A257" s="1">
        <v>45594</v>
      </c>
      <c r="B257" t="s">
        <v>16</v>
      </c>
      <c r="C257" t="s">
        <v>12</v>
      </c>
      <c r="D257">
        <v>46657</v>
      </c>
      <c r="E257">
        <v>616</v>
      </c>
      <c r="F257">
        <v>28740712</v>
      </c>
      <c r="G257">
        <v>550</v>
      </c>
      <c r="H257">
        <v>3079362</v>
      </c>
      <c r="I257" t="s">
        <v>13</v>
      </c>
      <c r="J257">
        <v>428504</v>
      </c>
      <c r="K257">
        <v>381847</v>
      </c>
    </row>
    <row r="258" spans="1:11" x14ac:dyDescent="0.25">
      <c r="A258" s="1">
        <v>45594</v>
      </c>
      <c r="B258" t="s">
        <v>16</v>
      </c>
      <c r="C258" t="s">
        <v>14</v>
      </c>
      <c r="D258">
        <v>21622</v>
      </c>
      <c r="E258">
        <v>866</v>
      </c>
      <c r="F258">
        <v>18724652</v>
      </c>
      <c r="G258">
        <v>795</v>
      </c>
      <c r="H258">
        <v>1535162</v>
      </c>
      <c r="I258" t="s">
        <v>17</v>
      </c>
      <c r="J258">
        <v>216725</v>
      </c>
      <c r="K258">
        <v>195103</v>
      </c>
    </row>
    <row r="259" spans="1:11" x14ac:dyDescent="0.25">
      <c r="A259" s="1">
        <v>45594</v>
      </c>
      <c r="B259" t="s">
        <v>16</v>
      </c>
      <c r="C259" t="s">
        <v>15</v>
      </c>
      <c r="D259">
        <v>71226</v>
      </c>
      <c r="E259">
        <v>556</v>
      </c>
      <c r="F259">
        <v>39601656</v>
      </c>
      <c r="G259">
        <v>496</v>
      </c>
      <c r="H259">
        <v>4273560</v>
      </c>
      <c r="I259" t="s">
        <v>13</v>
      </c>
      <c r="J259">
        <v>229402</v>
      </c>
      <c r="K259">
        <v>158176</v>
      </c>
    </row>
    <row r="260" spans="1:11" x14ac:dyDescent="0.25">
      <c r="A260" s="1">
        <v>45594</v>
      </c>
      <c r="B260" t="s">
        <v>18</v>
      </c>
      <c r="C260" t="s">
        <v>12</v>
      </c>
      <c r="D260">
        <v>66828</v>
      </c>
      <c r="E260">
        <v>652</v>
      </c>
      <c r="F260">
        <v>43571856</v>
      </c>
      <c r="G260">
        <v>616</v>
      </c>
      <c r="H260">
        <v>2405808</v>
      </c>
      <c r="I260" t="s">
        <v>17</v>
      </c>
      <c r="J260">
        <v>424137</v>
      </c>
      <c r="K260">
        <v>357309</v>
      </c>
    </row>
    <row r="261" spans="1:11" x14ac:dyDescent="0.25">
      <c r="A261" s="1">
        <v>45594</v>
      </c>
      <c r="B261" t="s">
        <v>18</v>
      </c>
      <c r="C261" t="s">
        <v>14</v>
      </c>
      <c r="D261">
        <v>31664</v>
      </c>
      <c r="E261">
        <v>871</v>
      </c>
      <c r="F261">
        <v>27579344</v>
      </c>
      <c r="G261">
        <v>796</v>
      </c>
      <c r="H261">
        <v>2374800</v>
      </c>
      <c r="I261" t="s">
        <v>13</v>
      </c>
      <c r="J261">
        <v>301371</v>
      </c>
      <c r="K261">
        <v>269707</v>
      </c>
    </row>
    <row r="262" spans="1:11" x14ac:dyDescent="0.25">
      <c r="A262" s="1">
        <v>45594</v>
      </c>
      <c r="B262" t="s">
        <v>18</v>
      </c>
      <c r="C262" t="s">
        <v>15</v>
      </c>
      <c r="D262">
        <v>81120</v>
      </c>
      <c r="E262">
        <v>550</v>
      </c>
      <c r="F262">
        <v>44616000</v>
      </c>
      <c r="G262">
        <v>485</v>
      </c>
      <c r="H262">
        <v>5272800</v>
      </c>
      <c r="I262" t="s">
        <v>17</v>
      </c>
      <c r="J262">
        <v>253276</v>
      </c>
      <c r="K262">
        <v>172156</v>
      </c>
    </row>
    <row r="263" spans="1:11" x14ac:dyDescent="0.25">
      <c r="A263" s="1">
        <v>45595</v>
      </c>
      <c r="B263" t="s">
        <v>11</v>
      </c>
      <c r="C263" t="s">
        <v>12</v>
      </c>
      <c r="D263">
        <v>73002</v>
      </c>
      <c r="E263">
        <v>639</v>
      </c>
      <c r="F263">
        <v>46648278</v>
      </c>
      <c r="G263">
        <v>599</v>
      </c>
      <c r="H263">
        <v>2920080</v>
      </c>
      <c r="I263" t="s">
        <v>17</v>
      </c>
      <c r="J263">
        <v>422320</v>
      </c>
      <c r="K263">
        <v>349318</v>
      </c>
    </row>
    <row r="264" spans="1:11" x14ac:dyDescent="0.25">
      <c r="A264" s="1">
        <v>45595</v>
      </c>
      <c r="B264" t="s">
        <v>11</v>
      </c>
      <c r="C264" t="s">
        <v>14</v>
      </c>
      <c r="D264">
        <v>31046</v>
      </c>
      <c r="E264">
        <v>803</v>
      </c>
      <c r="F264">
        <v>24929938</v>
      </c>
      <c r="G264">
        <v>740</v>
      </c>
      <c r="H264">
        <v>1955898</v>
      </c>
      <c r="I264" t="s">
        <v>17</v>
      </c>
      <c r="J264">
        <v>384374</v>
      </c>
      <c r="K264">
        <v>353328</v>
      </c>
    </row>
    <row r="265" spans="1:11" x14ac:dyDescent="0.25">
      <c r="A265" s="1">
        <v>45595</v>
      </c>
      <c r="B265" t="s">
        <v>11</v>
      </c>
      <c r="C265" t="s">
        <v>15</v>
      </c>
      <c r="D265">
        <v>88247</v>
      </c>
      <c r="E265">
        <v>521</v>
      </c>
      <c r="F265">
        <v>45976687</v>
      </c>
      <c r="G265">
        <v>487</v>
      </c>
      <c r="H265">
        <v>3000398</v>
      </c>
      <c r="I265" t="s">
        <v>13</v>
      </c>
      <c r="J265">
        <v>259129</v>
      </c>
      <c r="K265">
        <v>170882</v>
      </c>
    </row>
    <row r="266" spans="1:11" x14ac:dyDescent="0.25">
      <c r="A266" s="1">
        <v>45595</v>
      </c>
      <c r="B266" t="s">
        <v>16</v>
      </c>
      <c r="C266" t="s">
        <v>12</v>
      </c>
      <c r="D266">
        <v>87298</v>
      </c>
      <c r="E266">
        <v>680</v>
      </c>
      <c r="F266">
        <v>59362640</v>
      </c>
      <c r="G266">
        <v>606</v>
      </c>
      <c r="H266">
        <v>6460052</v>
      </c>
      <c r="I266" t="s">
        <v>13</v>
      </c>
      <c r="J266">
        <v>238890</v>
      </c>
      <c r="K266">
        <v>151592</v>
      </c>
    </row>
    <row r="267" spans="1:11" x14ac:dyDescent="0.25">
      <c r="A267" s="1">
        <v>45595</v>
      </c>
      <c r="B267" t="s">
        <v>16</v>
      </c>
      <c r="C267" t="s">
        <v>14</v>
      </c>
      <c r="D267">
        <v>67304</v>
      </c>
      <c r="E267">
        <v>822</v>
      </c>
      <c r="F267">
        <v>55323888</v>
      </c>
      <c r="G267">
        <v>784</v>
      </c>
      <c r="H267">
        <v>2557552</v>
      </c>
      <c r="I267" t="s">
        <v>17</v>
      </c>
      <c r="J267">
        <v>368976</v>
      </c>
      <c r="K267">
        <v>301672</v>
      </c>
    </row>
    <row r="268" spans="1:11" x14ac:dyDescent="0.25">
      <c r="A268" s="1">
        <v>45595</v>
      </c>
      <c r="B268" t="s">
        <v>16</v>
      </c>
      <c r="C268" t="s">
        <v>15</v>
      </c>
      <c r="D268">
        <v>54008</v>
      </c>
      <c r="E268">
        <v>560</v>
      </c>
      <c r="F268">
        <v>30244480</v>
      </c>
      <c r="G268">
        <v>488</v>
      </c>
      <c r="H268">
        <v>3888576</v>
      </c>
      <c r="I268" t="s">
        <v>13</v>
      </c>
      <c r="J268">
        <v>283559</v>
      </c>
      <c r="K268">
        <v>229551</v>
      </c>
    </row>
    <row r="269" spans="1:11" x14ac:dyDescent="0.25">
      <c r="A269" s="1">
        <v>45595</v>
      </c>
      <c r="B269" t="s">
        <v>18</v>
      </c>
      <c r="C269" t="s">
        <v>12</v>
      </c>
      <c r="D269">
        <v>33350</v>
      </c>
      <c r="E269">
        <v>634</v>
      </c>
      <c r="F269">
        <v>21143900</v>
      </c>
      <c r="G269">
        <v>602</v>
      </c>
      <c r="H269">
        <v>1067200</v>
      </c>
      <c r="I269" t="s">
        <v>17</v>
      </c>
      <c r="J269">
        <v>228145</v>
      </c>
      <c r="K269">
        <v>194795</v>
      </c>
    </row>
    <row r="270" spans="1:11" x14ac:dyDescent="0.25">
      <c r="A270" s="1">
        <v>45595</v>
      </c>
      <c r="B270" t="s">
        <v>18</v>
      </c>
      <c r="C270" t="s">
        <v>14</v>
      </c>
      <c r="D270">
        <v>40581</v>
      </c>
      <c r="E270">
        <v>847</v>
      </c>
      <c r="F270">
        <v>34372107</v>
      </c>
      <c r="G270">
        <v>806</v>
      </c>
      <c r="H270">
        <v>1663821</v>
      </c>
      <c r="I270" t="s">
        <v>17</v>
      </c>
      <c r="J270">
        <v>251474</v>
      </c>
      <c r="K270">
        <v>210893</v>
      </c>
    </row>
    <row r="271" spans="1:11" x14ac:dyDescent="0.25">
      <c r="A271" s="1">
        <v>45595</v>
      </c>
      <c r="B271" t="s">
        <v>18</v>
      </c>
      <c r="C271" t="s">
        <v>15</v>
      </c>
      <c r="D271">
        <v>89626</v>
      </c>
      <c r="E271">
        <v>548</v>
      </c>
      <c r="F271">
        <v>49115048</v>
      </c>
      <c r="G271">
        <v>502</v>
      </c>
      <c r="H271">
        <v>4122796</v>
      </c>
      <c r="I271" t="s">
        <v>17</v>
      </c>
      <c r="J271">
        <v>380553</v>
      </c>
      <c r="K271">
        <v>290927</v>
      </c>
    </row>
    <row r="272" spans="1:11" x14ac:dyDescent="0.25">
      <c r="A272" s="1">
        <v>45596</v>
      </c>
      <c r="B272" t="s">
        <v>11</v>
      </c>
      <c r="C272" t="s">
        <v>12</v>
      </c>
      <c r="D272">
        <v>77134</v>
      </c>
      <c r="E272">
        <v>611</v>
      </c>
      <c r="F272">
        <v>47128874</v>
      </c>
      <c r="G272">
        <v>566</v>
      </c>
      <c r="H272">
        <v>3471030</v>
      </c>
      <c r="I272" t="s">
        <v>17</v>
      </c>
      <c r="J272">
        <v>290327</v>
      </c>
      <c r="K272">
        <v>213193</v>
      </c>
    </row>
    <row r="273" spans="1:11" x14ac:dyDescent="0.25">
      <c r="A273" s="1">
        <v>45596</v>
      </c>
      <c r="B273" t="s">
        <v>11</v>
      </c>
      <c r="C273" t="s">
        <v>14</v>
      </c>
      <c r="D273">
        <v>32254</v>
      </c>
      <c r="E273">
        <v>898</v>
      </c>
      <c r="F273">
        <v>28964092</v>
      </c>
      <c r="G273">
        <v>852</v>
      </c>
      <c r="H273">
        <v>1483684</v>
      </c>
      <c r="I273" t="s">
        <v>13</v>
      </c>
      <c r="J273">
        <v>267957</v>
      </c>
      <c r="K273">
        <v>235703</v>
      </c>
    </row>
    <row r="274" spans="1:11" x14ac:dyDescent="0.25">
      <c r="A274" s="1">
        <v>45596</v>
      </c>
      <c r="B274" t="s">
        <v>11</v>
      </c>
      <c r="C274" t="s">
        <v>15</v>
      </c>
      <c r="D274">
        <v>78053</v>
      </c>
      <c r="E274">
        <v>571</v>
      </c>
      <c r="F274">
        <v>44568263</v>
      </c>
      <c r="G274">
        <v>517</v>
      </c>
      <c r="H274">
        <v>4214862</v>
      </c>
      <c r="I274" t="s">
        <v>17</v>
      </c>
      <c r="J274">
        <v>386833</v>
      </c>
      <c r="K274">
        <v>308780</v>
      </c>
    </row>
    <row r="275" spans="1:11" x14ac:dyDescent="0.25">
      <c r="A275" s="1">
        <v>45596</v>
      </c>
      <c r="B275" t="s">
        <v>16</v>
      </c>
      <c r="C275" t="s">
        <v>12</v>
      </c>
      <c r="D275">
        <v>47935</v>
      </c>
      <c r="E275">
        <v>609</v>
      </c>
      <c r="F275">
        <v>29192415</v>
      </c>
      <c r="G275">
        <v>564</v>
      </c>
      <c r="H275">
        <v>2157075</v>
      </c>
      <c r="I275" t="s">
        <v>13</v>
      </c>
      <c r="J275">
        <v>343254</v>
      </c>
      <c r="K275">
        <v>295319</v>
      </c>
    </row>
    <row r="276" spans="1:11" x14ac:dyDescent="0.25">
      <c r="A276" s="1">
        <v>45596</v>
      </c>
      <c r="B276" t="s">
        <v>16</v>
      </c>
      <c r="C276" t="s">
        <v>14</v>
      </c>
      <c r="D276">
        <v>76276</v>
      </c>
      <c r="E276">
        <v>835</v>
      </c>
      <c r="F276">
        <v>63690460</v>
      </c>
      <c r="G276">
        <v>799</v>
      </c>
      <c r="H276">
        <v>2745936</v>
      </c>
      <c r="I276" t="s">
        <v>17</v>
      </c>
      <c r="J276">
        <v>244813</v>
      </c>
      <c r="K276">
        <v>168537</v>
      </c>
    </row>
    <row r="277" spans="1:11" x14ac:dyDescent="0.25">
      <c r="A277" s="1">
        <v>45596</v>
      </c>
      <c r="B277" t="s">
        <v>16</v>
      </c>
      <c r="C277" t="s">
        <v>15</v>
      </c>
      <c r="D277">
        <v>28820</v>
      </c>
      <c r="E277">
        <v>506</v>
      </c>
      <c r="F277">
        <v>14582920</v>
      </c>
      <c r="G277">
        <v>468</v>
      </c>
      <c r="H277">
        <v>1095160</v>
      </c>
      <c r="I277" t="s">
        <v>13</v>
      </c>
      <c r="J277">
        <v>404615</v>
      </c>
      <c r="K277">
        <v>375795</v>
      </c>
    </row>
    <row r="278" spans="1:11" x14ac:dyDescent="0.25">
      <c r="A278" s="1">
        <v>45596</v>
      </c>
      <c r="B278" t="s">
        <v>18</v>
      </c>
      <c r="C278" t="s">
        <v>12</v>
      </c>
      <c r="D278">
        <v>61786</v>
      </c>
      <c r="E278">
        <v>686</v>
      </c>
      <c r="F278">
        <v>42385196</v>
      </c>
      <c r="G278">
        <v>628</v>
      </c>
      <c r="H278">
        <v>3583588</v>
      </c>
      <c r="I278" t="s">
        <v>13</v>
      </c>
      <c r="J278">
        <v>498206</v>
      </c>
      <c r="K278">
        <v>436420</v>
      </c>
    </row>
    <row r="279" spans="1:11" x14ac:dyDescent="0.25">
      <c r="A279" s="1">
        <v>45596</v>
      </c>
      <c r="B279" t="s">
        <v>18</v>
      </c>
      <c r="C279" t="s">
        <v>14</v>
      </c>
      <c r="D279">
        <v>71571</v>
      </c>
      <c r="E279">
        <v>895</v>
      </c>
      <c r="F279">
        <v>64056045</v>
      </c>
      <c r="G279">
        <v>824</v>
      </c>
      <c r="H279">
        <v>5081541</v>
      </c>
      <c r="I279" t="s">
        <v>17</v>
      </c>
      <c r="J279">
        <v>266150</v>
      </c>
      <c r="K279">
        <v>194579</v>
      </c>
    </row>
    <row r="280" spans="1:11" x14ac:dyDescent="0.25">
      <c r="A280" s="1">
        <v>45596</v>
      </c>
      <c r="B280" t="s">
        <v>18</v>
      </c>
      <c r="C280" t="s">
        <v>15</v>
      </c>
      <c r="D280">
        <v>72375</v>
      </c>
      <c r="E280">
        <v>598</v>
      </c>
      <c r="F280">
        <v>43280250</v>
      </c>
      <c r="G280">
        <v>525</v>
      </c>
      <c r="H280">
        <v>5283375</v>
      </c>
      <c r="I280" t="s">
        <v>17</v>
      </c>
      <c r="J280">
        <v>410017</v>
      </c>
      <c r="K280">
        <v>337642</v>
      </c>
    </row>
    <row r="281" spans="1:11" x14ac:dyDescent="0.25">
      <c r="A281" s="1">
        <v>45597</v>
      </c>
      <c r="B281" t="s">
        <v>11</v>
      </c>
      <c r="C281" t="s">
        <v>12</v>
      </c>
      <c r="D281">
        <v>22983</v>
      </c>
      <c r="E281">
        <v>689</v>
      </c>
      <c r="F281">
        <v>15835287</v>
      </c>
      <c r="G281">
        <v>637</v>
      </c>
      <c r="H281">
        <v>1195116</v>
      </c>
      <c r="I281" t="s">
        <v>17</v>
      </c>
      <c r="J281">
        <v>409259</v>
      </c>
      <c r="K281">
        <v>386276</v>
      </c>
    </row>
    <row r="282" spans="1:11" x14ac:dyDescent="0.25">
      <c r="A282" s="1">
        <v>45597</v>
      </c>
      <c r="B282" t="s">
        <v>11</v>
      </c>
      <c r="C282" t="s">
        <v>14</v>
      </c>
      <c r="D282">
        <v>76846</v>
      </c>
      <c r="E282">
        <v>869</v>
      </c>
      <c r="F282">
        <v>66779174</v>
      </c>
      <c r="G282">
        <v>791</v>
      </c>
      <c r="H282">
        <v>5993988</v>
      </c>
      <c r="I282" t="s">
        <v>17</v>
      </c>
      <c r="J282">
        <v>346389</v>
      </c>
      <c r="K282">
        <v>269543</v>
      </c>
    </row>
    <row r="283" spans="1:11" x14ac:dyDescent="0.25">
      <c r="A283" s="1">
        <v>45597</v>
      </c>
      <c r="B283" t="s">
        <v>11</v>
      </c>
      <c r="C283" t="s">
        <v>15</v>
      </c>
      <c r="D283">
        <v>27564</v>
      </c>
      <c r="E283">
        <v>581</v>
      </c>
      <c r="F283">
        <v>16014684</v>
      </c>
      <c r="G283">
        <v>519</v>
      </c>
      <c r="H283">
        <v>1708968</v>
      </c>
      <c r="I283" t="s">
        <v>13</v>
      </c>
      <c r="J283">
        <v>454444</v>
      </c>
      <c r="K283">
        <v>426880</v>
      </c>
    </row>
    <row r="284" spans="1:11" x14ac:dyDescent="0.25">
      <c r="A284" s="1">
        <v>45597</v>
      </c>
      <c r="B284" t="s">
        <v>16</v>
      </c>
      <c r="C284" t="s">
        <v>12</v>
      </c>
      <c r="D284">
        <v>72393</v>
      </c>
      <c r="E284">
        <v>633</v>
      </c>
      <c r="F284">
        <v>45824769</v>
      </c>
      <c r="G284">
        <v>574</v>
      </c>
      <c r="H284">
        <v>4271187</v>
      </c>
      <c r="I284" t="s">
        <v>17</v>
      </c>
      <c r="J284">
        <v>491574</v>
      </c>
      <c r="K284">
        <v>419181</v>
      </c>
    </row>
    <row r="285" spans="1:11" x14ac:dyDescent="0.25">
      <c r="A285" s="1">
        <v>45597</v>
      </c>
      <c r="B285" t="s">
        <v>16</v>
      </c>
      <c r="C285" t="s">
        <v>14</v>
      </c>
      <c r="D285">
        <v>47788</v>
      </c>
      <c r="E285">
        <v>767</v>
      </c>
      <c r="F285">
        <v>36653396</v>
      </c>
      <c r="G285">
        <v>706</v>
      </c>
      <c r="H285">
        <v>2915068</v>
      </c>
      <c r="I285" t="s">
        <v>13</v>
      </c>
      <c r="J285">
        <v>239974</v>
      </c>
      <c r="K285">
        <v>192186</v>
      </c>
    </row>
    <row r="286" spans="1:11" x14ac:dyDescent="0.25">
      <c r="A286" s="1">
        <v>45597</v>
      </c>
      <c r="B286" t="s">
        <v>16</v>
      </c>
      <c r="C286" t="s">
        <v>15</v>
      </c>
      <c r="D286">
        <v>36371</v>
      </c>
      <c r="E286">
        <v>528</v>
      </c>
      <c r="F286">
        <v>19203888</v>
      </c>
      <c r="G286">
        <v>450</v>
      </c>
      <c r="H286">
        <v>2836938</v>
      </c>
      <c r="I286" t="s">
        <v>13</v>
      </c>
      <c r="J286">
        <v>273972</v>
      </c>
      <c r="K286">
        <v>237601</v>
      </c>
    </row>
    <row r="287" spans="1:11" x14ac:dyDescent="0.25">
      <c r="A287" s="1">
        <v>45597</v>
      </c>
      <c r="B287" t="s">
        <v>18</v>
      </c>
      <c r="C287" t="s">
        <v>12</v>
      </c>
      <c r="D287">
        <v>32984</v>
      </c>
      <c r="E287">
        <v>615</v>
      </c>
      <c r="F287">
        <v>20285160</v>
      </c>
      <c r="G287">
        <v>542</v>
      </c>
      <c r="H287">
        <v>2407832</v>
      </c>
      <c r="I287" t="s">
        <v>17</v>
      </c>
      <c r="J287">
        <v>305373</v>
      </c>
      <c r="K287">
        <v>272389</v>
      </c>
    </row>
    <row r="288" spans="1:11" x14ac:dyDescent="0.25">
      <c r="A288" s="1">
        <v>45597</v>
      </c>
      <c r="B288" t="s">
        <v>18</v>
      </c>
      <c r="C288" t="s">
        <v>14</v>
      </c>
      <c r="D288">
        <v>44574</v>
      </c>
      <c r="E288">
        <v>852</v>
      </c>
      <c r="F288">
        <v>37977048</v>
      </c>
      <c r="G288">
        <v>803</v>
      </c>
      <c r="H288">
        <v>2184126</v>
      </c>
      <c r="I288" t="s">
        <v>17</v>
      </c>
      <c r="J288">
        <v>343748</v>
      </c>
      <c r="K288">
        <v>299174</v>
      </c>
    </row>
    <row r="289" spans="1:11" x14ac:dyDescent="0.25">
      <c r="A289" s="1">
        <v>45597</v>
      </c>
      <c r="B289" t="s">
        <v>18</v>
      </c>
      <c r="C289" t="s">
        <v>15</v>
      </c>
      <c r="D289">
        <v>52733</v>
      </c>
      <c r="E289">
        <v>548</v>
      </c>
      <c r="F289">
        <v>28897684</v>
      </c>
      <c r="G289">
        <v>516</v>
      </c>
      <c r="H289">
        <v>1687456</v>
      </c>
      <c r="I289" t="s">
        <v>13</v>
      </c>
      <c r="J289">
        <v>309996</v>
      </c>
      <c r="K289">
        <v>257263</v>
      </c>
    </row>
    <row r="290" spans="1:11" x14ac:dyDescent="0.25">
      <c r="A290" s="1">
        <v>45598</v>
      </c>
      <c r="B290" t="s">
        <v>11</v>
      </c>
      <c r="C290" t="s">
        <v>12</v>
      </c>
      <c r="D290">
        <v>44951</v>
      </c>
      <c r="E290">
        <v>629</v>
      </c>
      <c r="F290">
        <v>28274179</v>
      </c>
      <c r="G290">
        <v>550</v>
      </c>
      <c r="H290">
        <v>3551129</v>
      </c>
      <c r="I290" t="s">
        <v>13</v>
      </c>
      <c r="J290">
        <v>386691</v>
      </c>
      <c r="K290">
        <v>341740</v>
      </c>
    </row>
    <row r="291" spans="1:11" x14ac:dyDescent="0.25">
      <c r="A291" s="1">
        <v>45598</v>
      </c>
      <c r="B291" t="s">
        <v>11</v>
      </c>
      <c r="C291" t="s">
        <v>14</v>
      </c>
      <c r="D291">
        <v>60600</v>
      </c>
      <c r="E291">
        <v>822</v>
      </c>
      <c r="F291">
        <v>49813200</v>
      </c>
      <c r="G291">
        <v>778</v>
      </c>
      <c r="H291">
        <v>2666400</v>
      </c>
      <c r="I291" t="s">
        <v>17</v>
      </c>
      <c r="J291">
        <v>411760</v>
      </c>
      <c r="K291">
        <v>351160</v>
      </c>
    </row>
    <row r="292" spans="1:11" x14ac:dyDescent="0.25">
      <c r="A292" s="1">
        <v>45598</v>
      </c>
      <c r="B292" t="s">
        <v>11</v>
      </c>
      <c r="C292" t="s">
        <v>15</v>
      </c>
      <c r="D292">
        <v>63001</v>
      </c>
      <c r="E292">
        <v>536</v>
      </c>
      <c r="F292">
        <v>33768536</v>
      </c>
      <c r="G292">
        <v>470</v>
      </c>
      <c r="H292">
        <v>4158066</v>
      </c>
      <c r="I292" t="s">
        <v>13</v>
      </c>
      <c r="J292">
        <v>438506</v>
      </c>
      <c r="K292">
        <v>375505</v>
      </c>
    </row>
    <row r="293" spans="1:11" x14ac:dyDescent="0.25">
      <c r="A293" s="1">
        <v>45598</v>
      </c>
      <c r="B293" t="s">
        <v>16</v>
      </c>
      <c r="C293" t="s">
        <v>12</v>
      </c>
      <c r="D293">
        <v>57573</v>
      </c>
      <c r="E293">
        <v>638</v>
      </c>
      <c r="F293">
        <v>36731574</v>
      </c>
      <c r="G293">
        <v>563</v>
      </c>
      <c r="H293">
        <v>4317975</v>
      </c>
      <c r="I293" t="s">
        <v>17</v>
      </c>
      <c r="J293">
        <v>360829</v>
      </c>
      <c r="K293">
        <v>303256</v>
      </c>
    </row>
    <row r="294" spans="1:11" x14ac:dyDescent="0.25">
      <c r="A294" s="1">
        <v>45598</v>
      </c>
      <c r="B294" t="s">
        <v>16</v>
      </c>
      <c r="C294" t="s">
        <v>14</v>
      </c>
      <c r="D294">
        <v>68280</v>
      </c>
      <c r="E294">
        <v>801</v>
      </c>
      <c r="F294">
        <v>54692280</v>
      </c>
      <c r="G294">
        <v>768</v>
      </c>
      <c r="H294">
        <v>2253240</v>
      </c>
      <c r="I294" t="s">
        <v>17</v>
      </c>
      <c r="J294">
        <v>445596</v>
      </c>
      <c r="K294">
        <v>377316</v>
      </c>
    </row>
    <row r="295" spans="1:11" x14ac:dyDescent="0.25">
      <c r="A295" s="1">
        <v>45598</v>
      </c>
      <c r="B295" t="s">
        <v>16</v>
      </c>
      <c r="C295" t="s">
        <v>15</v>
      </c>
      <c r="D295">
        <v>58197</v>
      </c>
      <c r="E295">
        <v>573</v>
      </c>
      <c r="F295">
        <v>33346881</v>
      </c>
      <c r="G295">
        <v>501</v>
      </c>
      <c r="H295">
        <v>4190184</v>
      </c>
      <c r="I295" t="s">
        <v>17</v>
      </c>
      <c r="J295">
        <v>261665</v>
      </c>
      <c r="K295">
        <v>203468</v>
      </c>
    </row>
    <row r="296" spans="1:11" x14ac:dyDescent="0.25">
      <c r="A296" s="1">
        <v>45598</v>
      </c>
      <c r="B296" t="s">
        <v>18</v>
      </c>
      <c r="C296" t="s">
        <v>12</v>
      </c>
      <c r="D296">
        <v>47376</v>
      </c>
      <c r="E296">
        <v>602</v>
      </c>
      <c r="F296">
        <v>28520352</v>
      </c>
      <c r="G296">
        <v>567</v>
      </c>
      <c r="H296">
        <v>1658160</v>
      </c>
      <c r="I296" t="s">
        <v>17</v>
      </c>
      <c r="J296">
        <v>273781</v>
      </c>
      <c r="K296">
        <v>226405</v>
      </c>
    </row>
    <row r="297" spans="1:11" x14ac:dyDescent="0.25">
      <c r="A297" s="1">
        <v>45598</v>
      </c>
      <c r="B297" t="s">
        <v>18</v>
      </c>
      <c r="C297" t="s">
        <v>14</v>
      </c>
      <c r="D297">
        <v>86262</v>
      </c>
      <c r="E297">
        <v>758</v>
      </c>
      <c r="F297">
        <v>65386596</v>
      </c>
      <c r="G297">
        <v>694</v>
      </c>
      <c r="H297">
        <v>5520768</v>
      </c>
      <c r="I297" t="s">
        <v>17</v>
      </c>
      <c r="J297">
        <v>349369</v>
      </c>
      <c r="K297">
        <v>263107</v>
      </c>
    </row>
    <row r="298" spans="1:11" x14ac:dyDescent="0.25">
      <c r="A298" s="1">
        <v>45598</v>
      </c>
      <c r="B298" t="s">
        <v>18</v>
      </c>
      <c r="C298" t="s">
        <v>15</v>
      </c>
      <c r="D298">
        <v>46172</v>
      </c>
      <c r="E298">
        <v>534</v>
      </c>
      <c r="F298">
        <v>24655848</v>
      </c>
      <c r="G298">
        <v>455</v>
      </c>
      <c r="H298">
        <v>3647588</v>
      </c>
      <c r="I298" t="s">
        <v>17</v>
      </c>
      <c r="J298">
        <v>359903</v>
      </c>
      <c r="K298">
        <v>313731</v>
      </c>
    </row>
    <row r="299" spans="1:11" x14ac:dyDescent="0.25">
      <c r="A299" s="1">
        <v>45599</v>
      </c>
      <c r="B299" t="s">
        <v>11</v>
      </c>
      <c r="C299" t="s">
        <v>12</v>
      </c>
      <c r="D299">
        <v>81413</v>
      </c>
      <c r="E299">
        <v>612</v>
      </c>
      <c r="F299">
        <v>49824756</v>
      </c>
      <c r="G299">
        <v>536</v>
      </c>
      <c r="H299">
        <v>6187388</v>
      </c>
      <c r="I299" t="s">
        <v>13</v>
      </c>
      <c r="J299">
        <v>390792</v>
      </c>
      <c r="K299">
        <v>309379</v>
      </c>
    </row>
    <row r="300" spans="1:11" x14ac:dyDescent="0.25">
      <c r="A300" s="1">
        <v>45599</v>
      </c>
      <c r="B300" t="s">
        <v>11</v>
      </c>
      <c r="C300" t="s">
        <v>14</v>
      </c>
      <c r="D300">
        <v>54701</v>
      </c>
      <c r="E300">
        <v>850</v>
      </c>
      <c r="F300">
        <v>46495850</v>
      </c>
      <c r="G300">
        <v>787</v>
      </c>
      <c r="H300">
        <v>3446163</v>
      </c>
      <c r="I300" t="s">
        <v>17</v>
      </c>
      <c r="J300">
        <v>348746</v>
      </c>
      <c r="K300">
        <v>294045</v>
      </c>
    </row>
    <row r="301" spans="1:11" x14ac:dyDescent="0.25">
      <c r="A301" s="1">
        <v>45599</v>
      </c>
      <c r="B301" t="s">
        <v>11</v>
      </c>
      <c r="C301" t="s">
        <v>15</v>
      </c>
      <c r="D301">
        <v>43874</v>
      </c>
      <c r="E301">
        <v>591</v>
      </c>
      <c r="F301">
        <v>25929534</v>
      </c>
      <c r="G301">
        <v>533</v>
      </c>
      <c r="H301">
        <v>2544692</v>
      </c>
      <c r="I301" t="s">
        <v>17</v>
      </c>
      <c r="J301">
        <v>479746</v>
      </c>
      <c r="K301">
        <v>435872</v>
      </c>
    </row>
    <row r="302" spans="1:11" x14ac:dyDescent="0.25">
      <c r="A302" s="1">
        <v>45599</v>
      </c>
      <c r="B302" t="s">
        <v>16</v>
      </c>
      <c r="C302" t="s">
        <v>12</v>
      </c>
      <c r="D302">
        <v>45931</v>
      </c>
      <c r="E302">
        <v>641</v>
      </c>
      <c r="F302">
        <v>29441771</v>
      </c>
      <c r="G302">
        <v>603</v>
      </c>
      <c r="H302">
        <v>1745378</v>
      </c>
      <c r="I302" t="s">
        <v>13</v>
      </c>
      <c r="J302">
        <v>281121</v>
      </c>
      <c r="K302">
        <v>235190</v>
      </c>
    </row>
    <row r="303" spans="1:11" x14ac:dyDescent="0.25">
      <c r="A303" s="1">
        <v>45599</v>
      </c>
      <c r="B303" t="s">
        <v>16</v>
      </c>
      <c r="C303" t="s">
        <v>14</v>
      </c>
      <c r="D303">
        <v>53742</v>
      </c>
      <c r="E303">
        <v>787</v>
      </c>
      <c r="F303">
        <v>42294954</v>
      </c>
      <c r="G303">
        <v>750</v>
      </c>
      <c r="H303">
        <v>1988454</v>
      </c>
      <c r="I303" t="s">
        <v>17</v>
      </c>
      <c r="J303">
        <v>352826</v>
      </c>
      <c r="K303">
        <v>299084</v>
      </c>
    </row>
    <row r="304" spans="1:11" x14ac:dyDescent="0.25">
      <c r="A304" s="1">
        <v>45599</v>
      </c>
      <c r="B304" t="s">
        <v>16</v>
      </c>
      <c r="C304" t="s">
        <v>15</v>
      </c>
      <c r="D304">
        <v>61873</v>
      </c>
      <c r="E304">
        <v>569</v>
      </c>
      <c r="F304">
        <v>35205737</v>
      </c>
      <c r="G304">
        <v>503</v>
      </c>
      <c r="H304">
        <v>4083618</v>
      </c>
      <c r="I304" t="s">
        <v>13</v>
      </c>
      <c r="J304">
        <v>334092</v>
      </c>
      <c r="K304">
        <v>272219</v>
      </c>
    </row>
    <row r="305" spans="1:11" x14ac:dyDescent="0.25">
      <c r="A305" s="1">
        <v>45599</v>
      </c>
      <c r="B305" t="s">
        <v>18</v>
      </c>
      <c r="C305" t="s">
        <v>12</v>
      </c>
      <c r="D305">
        <v>65648</v>
      </c>
      <c r="E305">
        <v>639</v>
      </c>
      <c r="F305">
        <v>41949072</v>
      </c>
      <c r="G305">
        <v>565</v>
      </c>
      <c r="H305">
        <v>4857952</v>
      </c>
      <c r="I305" t="s">
        <v>17</v>
      </c>
      <c r="J305">
        <v>202396</v>
      </c>
      <c r="K305">
        <v>136748</v>
      </c>
    </row>
    <row r="306" spans="1:11" x14ac:dyDescent="0.25">
      <c r="A306" s="1">
        <v>45599</v>
      </c>
      <c r="B306" t="s">
        <v>18</v>
      </c>
      <c r="C306" t="s">
        <v>14</v>
      </c>
      <c r="D306">
        <v>39129</v>
      </c>
      <c r="E306">
        <v>816</v>
      </c>
      <c r="F306">
        <v>31929264</v>
      </c>
      <c r="G306">
        <v>747</v>
      </c>
      <c r="H306">
        <v>2699901</v>
      </c>
      <c r="I306" t="s">
        <v>13</v>
      </c>
      <c r="J306">
        <v>361633</v>
      </c>
      <c r="K306">
        <v>322504</v>
      </c>
    </row>
    <row r="307" spans="1:11" x14ac:dyDescent="0.25">
      <c r="A307" s="1">
        <v>45599</v>
      </c>
      <c r="B307" t="s">
        <v>18</v>
      </c>
      <c r="C307" t="s">
        <v>15</v>
      </c>
      <c r="D307">
        <v>27314</v>
      </c>
      <c r="E307">
        <v>579</v>
      </c>
      <c r="F307">
        <v>15814806</v>
      </c>
      <c r="G307">
        <v>510</v>
      </c>
      <c r="H307">
        <v>1884666</v>
      </c>
      <c r="I307" t="s">
        <v>17</v>
      </c>
      <c r="J307">
        <v>398747</v>
      </c>
      <c r="K307">
        <v>371433</v>
      </c>
    </row>
    <row r="308" spans="1:11" x14ac:dyDescent="0.25">
      <c r="A308" s="1">
        <v>45600</v>
      </c>
      <c r="B308" t="s">
        <v>11</v>
      </c>
      <c r="C308" t="s">
        <v>12</v>
      </c>
      <c r="D308">
        <v>85082</v>
      </c>
      <c r="E308">
        <v>647</v>
      </c>
      <c r="F308">
        <v>55048054</v>
      </c>
      <c r="G308">
        <v>577</v>
      </c>
      <c r="H308">
        <v>5955740</v>
      </c>
      <c r="I308" t="s">
        <v>17</v>
      </c>
      <c r="J308">
        <v>305228</v>
      </c>
      <c r="K308">
        <v>220146</v>
      </c>
    </row>
    <row r="309" spans="1:11" x14ac:dyDescent="0.25">
      <c r="A309" s="1">
        <v>45600</v>
      </c>
      <c r="B309" t="s">
        <v>11</v>
      </c>
      <c r="C309" t="s">
        <v>14</v>
      </c>
      <c r="D309">
        <v>71756</v>
      </c>
      <c r="E309">
        <v>838</v>
      </c>
      <c r="F309">
        <v>60131528</v>
      </c>
      <c r="G309">
        <v>767</v>
      </c>
      <c r="H309">
        <v>5094676</v>
      </c>
      <c r="I309" t="s">
        <v>13</v>
      </c>
      <c r="J309">
        <v>269274</v>
      </c>
      <c r="K309">
        <v>197518</v>
      </c>
    </row>
    <row r="310" spans="1:11" x14ac:dyDescent="0.25">
      <c r="A310" s="1">
        <v>45600</v>
      </c>
      <c r="B310" t="s">
        <v>11</v>
      </c>
      <c r="C310" t="s">
        <v>15</v>
      </c>
      <c r="D310">
        <v>73947</v>
      </c>
      <c r="E310">
        <v>506</v>
      </c>
      <c r="F310">
        <v>37417182</v>
      </c>
      <c r="G310">
        <v>472</v>
      </c>
      <c r="H310">
        <v>2514198</v>
      </c>
      <c r="I310" t="s">
        <v>17</v>
      </c>
      <c r="J310">
        <v>248874</v>
      </c>
      <c r="K310">
        <v>174927</v>
      </c>
    </row>
    <row r="311" spans="1:11" x14ac:dyDescent="0.25">
      <c r="A311" s="1">
        <v>45600</v>
      </c>
      <c r="B311" t="s">
        <v>16</v>
      </c>
      <c r="C311" t="s">
        <v>12</v>
      </c>
      <c r="D311">
        <v>88344</v>
      </c>
      <c r="E311">
        <v>630</v>
      </c>
      <c r="F311">
        <v>55656720</v>
      </c>
      <c r="G311">
        <v>578</v>
      </c>
      <c r="H311">
        <v>4593888</v>
      </c>
      <c r="I311" t="s">
        <v>13</v>
      </c>
      <c r="J311">
        <v>278249</v>
      </c>
      <c r="K311">
        <v>189905</v>
      </c>
    </row>
    <row r="312" spans="1:11" x14ac:dyDescent="0.25">
      <c r="A312" s="1">
        <v>45600</v>
      </c>
      <c r="B312" t="s">
        <v>16</v>
      </c>
      <c r="C312" t="s">
        <v>14</v>
      </c>
      <c r="D312">
        <v>22719</v>
      </c>
      <c r="E312">
        <v>856</v>
      </c>
      <c r="F312">
        <v>19447464</v>
      </c>
      <c r="G312">
        <v>797</v>
      </c>
      <c r="H312">
        <v>1340421</v>
      </c>
      <c r="I312" t="s">
        <v>17</v>
      </c>
      <c r="J312">
        <v>242534</v>
      </c>
      <c r="K312">
        <v>219815</v>
      </c>
    </row>
    <row r="313" spans="1:11" x14ac:dyDescent="0.25">
      <c r="A313" s="1">
        <v>45600</v>
      </c>
      <c r="B313" t="s">
        <v>16</v>
      </c>
      <c r="C313" t="s">
        <v>15</v>
      </c>
      <c r="D313">
        <v>38787</v>
      </c>
      <c r="E313">
        <v>501</v>
      </c>
      <c r="F313">
        <v>19432287</v>
      </c>
      <c r="G313">
        <v>458</v>
      </c>
      <c r="H313">
        <v>1667841</v>
      </c>
      <c r="I313" t="s">
        <v>17</v>
      </c>
      <c r="J313">
        <v>389004</v>
      </c>
      <c r="K313">
        <v>350217</v>
      </c>
    </row>
    <row r="314" spans="1:11" x14ac:dyDescent="0.25">
      <c r="A314" s="1">
        <v>45600</v>
      </c>
      <c r="B314" t="s">
        <v>18</v>
      </c>
      <c r="C314" t="s">
        <v>12</v>
      </c>
      <c r="D314">
        <v>53062</v>
      </c>
      <c r="E314">
        <v>665</v>
      </c>
      <c r="F314">
        <v>35286230</v>
      </c>
      <c r="G314">
        <v>604</v>
      </c>
      <c r="H314">
        <v>3236782</v>
      </c>
      <c r="I314" t="s">
        <v>17</v>
      </c>
      <c r="J314">
        <v>275418</v>
      </c>
      <c r="K314">
        <v>222356</v>
      </c>
    </row>
    <row r="315" spans="1:11" x14ac:dyDescent="0.25">
      <c r="A315" s="1">
        <v>45600</v>
      </c>
      <c r="B315" t="s">
        <v>18</v>
      </c>
      <c r="C315" t="s">
        <v>14</v>
      </c>
      <c r="D315">
        <v>54832</v>
      </c>
      <c r="E315">
        <v>853</v>
      </c>
      <c r="F315">
        <v>46771696</v>
      </c>
      <c r="G315">
        <v>793</v>
      </c>
      <c r="H315">
        <v>3289920</v>
      </c>
      <c r="I315" t="s">
        <v>13</v>
      </c>
      <c r="J315">
        <v>368383</v>
      </c>
      <c r="K315">
        <v>313551</v>
      </c>
    </row>
    <row r="316" spans="1:11" x14ac:dyDescent="0.25">
      <c r="A316" s="1">
        <v>45600</v>
      </c>
      <c r="B316" t="s">
        <v>18</v>
      </c>
      <c r="C316" t="s">
        <v>15</v>
      </c>
      <c r="D316">
        <v>83852</v>
      </c>
      <c r="E316">
        <v>534</v>
      </c>
      <c r="F316">
        <v>44776968</v>
      </c>
      <c r="G316">
        <v>457</v>
      </c>
      <c r="H316">
        <v>6456604</v>
      </c>
      <c r="I316" t="s">
        <v>17</v>
      </c>
      <c r="J316">
        <v>402053</v>
      </c>
      <c r="K316">
        <v>318201</v>
      </c>
    </row>
    <row r="317" spans="1:11" x14ac:dyDescent="0.25">
      <c r="A317" s="1">
        <v>45601</v>
      </c>
      <c r="B317" t="s">
        <v>11</v>
      </c>
      <c r="C317" t="s">
        <v>12</v>
      </c>
      <c r="D317">
        <v>67517</v>
      </c>
      <c r="E317">
        <v>670</v>
      </c>
      <c r="F317">
        <v>45236390</v>
      </c>
      <c r="G317">
        <v>631</v>
      </c>
      <c r="H317">
        <v>2633163</v>
      </c>
      <c r="I317" t="s">
        <v>17</v>
      </c>
      <c r="J317">
        <v>344353</v>
      </c>
      <c r="K317">
        <v>276836</v>
      </c>
    </row>
    <row r="318" spans="1:11" x14ac:dyDescent="0.25">
      <c r="A318" s="1">
        <v>45601</v>
      </c>
      <c r="B318" t="s">
        <v>11</v>
      </c>
      <c r="C318" t="s">
        <v>14</v>
      </c>
      <c r="D318">
        <v>21435</v>
      </c>
      <c r="E318">
        <v>809</v>
      </c>
      <c r="F318">
        <v>17340915</v>
      </c>
      <c r="G318">
        <v>765</v>
      </c>
      <c r="H318">
        <v>943140</v>
      </c>
      <c r="I318" t="s">
        <v>17</v>
      </c>
      <c r="J318">
        <v>291357</v>
      </c>
      <c r="K318">
        <v>269922</v>
      </c>
    </row>
    <row r="319" spans="1:11" x14ac:dyDescent="0.25">
      <c r="A319" s="1">
        <v>45601</v>
      </c>
      <c r="B319" t="s">
        <v>11</v>
      </c>
      <c r="C319" t="s">
        <v>15</v>
      </c>
      <c r="D319">
        <v>25084</v>
      </c>
      <c r="E319">
        <v>521</v>
      </c>
      <c r="F319">
        <v>13068764</v>
      </c>
      <c r="G319">
        <v>488</v>
      </c>
      <c r="H319">
        <v>827772</v>
      </c>
      <c r="I319" t="s">
        <v>13</v>
      </c>
      <c r="J319">
        <v>403667</v>
      </c>
      <c r="K319">
        <v>378583</v>
      </c>
    </row>
    <row r="320" spans="1:11" x14ac:dyDescent="0.25">
      <c r="A320" s="1">
        <v>45601</v>
      </c>
      <c r="B320" t="s">
        <v>16</v>
      </c>
      <c r="C320" t="s">
        <v>12</v>
      </c>
      <c r="D320">
        <v>65539</v>
      </c>
      <c r="E320">
        <v>667</v>
      </c>
      <c r="F320">
        <v>43714513</v>
      </c>
      <c r="G320">
        <v>611</v>
      </c>
      <c r="H320">
        <v>3670184</v>
      </c>
      <c r="I320" t="s">
        <v>13</v>
      </c>
      <c r="J320">
        <v>381264</v>
      </c>
      <c r="K320">
        <v>315725</v>
      </c>
    </row>
    <row r="321" spans="1:11" x14ac:dyDescent="0.25">
      <c r="A321" s="1">
        <v>45601</v>
      </c>
      <c r="B321" t="s">
        <v>16</v>
      </c>
      <c r="C321" t="s">
        <v>14</v>
      </c>
      <c r="D321">
        <v>83888</v>
      </c>
      <c r="E321">
        <v>887</v>
      </c>
      <c r="F321">
        <v>74408656</v>
      </c>
      <c r="G321">
        <v>857</v>
      </c>
      <c r="H321">
        <v>2516640</v>
      </c>
      <c r="I321" t="s">
        <v>13</v>
      </c>
      <c r="J321">
        <v>453973</v>
      </c>
      <c r="K321">
        <v>370085</v>
      </c>
    </row>
    <row r="322" spans="1:11" x14ac:dyDescent="0.25">
      <c r="A322" s="1">
        <v>45601</v>
      </c>
      <c r="B322" t="s">
        <v>16</v>
      </c>
      <c r="C322" t="s">
        <v>15</v>
      </c>
      <c r="D322">
        <v>87889</v>
      </c>
      <c r="E322">
        <v>513</v>
      </c>
      <c r="F322">
        <v>45087057</v>
      </c>
      <c r="G322">
        <v>437</v>
      </c>
      <c r="H322">
        <v>6679564</v>
      </c>
      <c r="I322" t="s">
        <v>13</v>
      </c>
      <c r="J322">
        <v>224860</v>
      </c>
      <c r="K322">
        <v>136971</v>
      </c>
    </row>
    <row r="323" spans="1:11" x14ac:dyDescent="0.25">
      <c r="A323" s="1">
        <v>45601</v>
      </c>
      <c r="B323" t="s">
        <v>18</v>
      </c>
      <c r="C323" t="s">
        <v>12</v>
      </c>
      <c r="D323">
        <v>41427</v>
      </c>
      <c r="E323">
        <v>675</v>
      </c>
      <c r="F323">
        <v>27963225</v>
      </c>
      <c r="G323">
        <v>639</v>
      </c>
      <c r="H323">
        <v>1491372</v>
      </c>
      <c r="I323" t="s">
        <v>17</v>
      </c>
      <c r="J323">
        <v>323786</v>
      </c>
      <c r="K323">
        <v>282359</v>
      </c>
    </row>
    <row r="324" spans="1:11" x14ac:dyDescent="0.25">
      <c r="A324" s="1">
        <v>45601</v>
      </c>
      <c r="B324" t="s">
        <v>18</v>
      </c>
      <c r="C324" t="s">
        <v>14</v>
      </c>
      <c r="D324">
        <v>27813</v>
      </c>
      <c r="E324">
        <v>860</v>
      </c>
      <c r="F324">
        <v>23919180</v>
      </c>
      <c r="G324">
        <v>816</v>
      </c>
      <c r="H324">
        <v>1223772</v>
      </c>
      <c r="I324" t="s">
        <v>17</v>
      </c>
      <c r="J324">
        <v>457951</v>
      </c>
      <c r="K324">
        <v>430138</v>
      </c>
    </row>
    <row r="325" spans="1:11" x14ac:dyDescent="0.25">
      <c r="A325" s="1">
        <v>45601</v>
      </c>
      <c r="B325" t="s">
        <v>18</v>
      </c>
      <c r="C325" t="s">
        <v>15</v>
      </c>
      <c r="D325">
        <v>47082</v>
      </c>
      <c r="E325">
        <v>557</v>
      </c>
      <c r="F325">
        <v>26224674</v>
      </c>
      <c r="G325">
        <v>505</v>
      </c>
      <c r="H325">
        <v>2448264</v>
      </c>
      <c r="I325" t="s">
        <v>13</v>
      </c>
      <c r="J325">
        <v>211745</v>
      </c>
      <c r="K325">
        <v>164663</v>
      </c>
    </row>
    <row r="326" spans="1:11" x14ac:dyDescent="0.25">
      <c r="A326" s="1">
        <v>45602</v>
      </c>
      <c r="B326" t="s">
        <v>11</v>
      </c>
      <c r="C326" t="s">
        <v>12</v>
      </c>
      <c r="D326">
        <v>33025</v>
      </c>
      <c r="E326">
        <v>628</v>
      </c>
      <c r="F326">
        <v>20739700</v>
      </c>
      <c r="G326">
        <v>595</v>
      </c>
      <c r="H326">
        <v>1089825</v>
      </c>
      <c r="I326" t="s">
        <v>17</v>
      </c>
      <c r="J326">
        <v>345360</v>
      </c>
      <c r="K326">
        <v>312335</v>
      </c>
    </row>
    <row r="327" spans="1:11" x14ac:dyDescent="0.25">
      <c r="A327" s="1">
        <v>45602</v>
      </c>
      <c r="B327" t="s">
        <v>11</v>
      </c>
      <c r="C327" t="s">
        <v>14</v>
      </c>
      <c r="D327">
        <v>26540</v>
      </c>
      <c r="E327">
        <v>788</v>
      </c>
      <c r="F327">
        <v>20913520</v>
      </c>
      <c r="G327">
        <v>744</v>
      </c>
      <c r="H327">
        <v>1167760</v>
      </c>
      <c r="I327" t="s">
        <v>17</v>
      </c>
      <c r="J327">
        <v>241846</v>
      </c>
      <c r="K327">
        <v>215306</v>
      </c>
    </row>
    <row r="328" spans="1:11" x14ac:dyDescent="0.25">
      <c r="A328" s="1">
        <v>45602</v>
      </c>
      <c r="B328" t="s">
        <v>11</v>
      </c>
      <c r="C328" t="s">
        <v>15</v>
      </c>
      <c r="D328">
        <v>37482</v>
      </c>
      <c r="E328">
        <v>531</v>
      </c>
      <c r="F328">
        <v>19902942</v>
      </c>
      <c r="G328">
        <v>500</v>
      </c>
      <c r="H328">
        <v>1161942</v>
      </c>
      <c r="I328" t="s">
        <v>17</v>
      </c>
      <c r="J328">
        <v>484186</v>
      </c>
      <c r="K328">
        <v>446704</v>
      </c>
    </row>
    <row r="329" spans="1:11" x14ac:dyDescent="0.25">
      <c r="A329" s="1">
        <v>45602</v>
      </c>
      <c r="B329" t="s">
        <v>16</v>
      </c>
      <c r="C329" t="s">
        <v>12</v>
      </c>
      <c r="D329">
        <v>64413</v>
      </c>
      <c r="E329">
        <v>655</v>
      </c>
      <c r="F329">
        <v>42190515</v>
      </c>
      <c r="G329">
        <v>598</v>
      </c>
      <c r="H329">
        <v>3671541</v>
      </c>
      <c r="I329" t="s">
        <v>17</v>
      </c>
      <c r="J329">
        <v>495900</v>
      </c>
      <c r="K329">
        <v>431487</v>
      </c>
    </row>
    <row r="330" spans="1:11" x14ac:dyDescent="0.25">
      <c r="A330" s="1">
        <v>45602</v>
      </c>
      <c r="B330" t="s">
        <v>16</v>
      </c>
      <c r="C330" t="s">
        <v>14</v>
      </c>
      <c r="D330">
        <v>59214</v>
      </c>
      <c r="E330">
        <v>850</v>
      </c>
      <c r="F330">
        <v>50331900</v>
      </c>
      <c r="G330">
        <v>801</v>
      </c>
      <c r="H330">
        <v>2901486</v>
      </c>
      <c r="I330" t="s">
        <v>17</v>
      </c>
      <c r="J330">
        <v>248901</v>
      </c>
      <c r="K330">
        <v>189687</v>
      </c>
    </row>
    <row r="331" spans="1:11" x14ac:dyDescent="0.25">
      <c r="A331" s="1">
        <v>45602</v>
      </c>
      <c r="B331" t="s">
        <v>16</v>
      </c>
      <c r="C331" t="s">
        <v>15</v>
      </c>
      <c r="D331">
        <v>83416</v>
      </c>
      <c r="E331">
        <v>568</v>
      </c>
      <c r="F331">
        <v>47380288</v>
      </c>
      <c r="G331">
        <v>536</v>
      </c>
      <c r="H331">
        <v>2669312</v>
      </c>
      <c r="I331" t="s">
        <v>17</v>
      </c>
      <c r="J331">
        <v>467770</v>
      </c>
      <c r="K331">
        <v>384354</v>
      </c>
    </row>
    <row r="332" spans="1:11" x14ac:dyDescent="0.25">
      <c r="A332" s="1">
        <v>45602</v>
      </c>
      <c r="B332" t="s">
        <v>18</v>
      </c>
      <c r="C332" t="s">
        <v>12</v>
      </c>
      <c r="D332">
        <v>32857</v>
      </c>
      <c r="E332">
        <v>637</v>
      </c>
      <c r="F332">
        <v>20929909</v>
      </c>
      <c r="G332">
        <v>593</v>
      </c>
      <c r="H332">
        <v>1445708</v>
      </c>
      <c r="I332" t="s">
        <v>13</v>
      </c>
      <c r="J332">
        <v>379362</v>
      </c>
      <c r="K332">
        <v>346505</v>
      </c>
    </row>
    <row r="333" spans="1:11" x14ac:dyDescent="0.25">
      <c r="A333" s="1">
        <v>45602</v>
      </c>
      <c r="B333" t="s">
        <v>18</v>
      </c>
      <c r="C333" t="s">
        <v>14</v>
      </c>
      <c r="D333">
        <v>46385</v>
      </c>
      <c r="E333">
        <v>764</v>
      </c>
      <c r="F333">
        <v>35438140</v>
      </c>
      <c r="G333">
        <v>691</v>
      </c>
      <c r="H333">
        <v>3386105</v>
      </c>
      <c r="I333" t="s">
        <v>17</v>
      </c>
      <c r="J333">
        <v>480783</v>
      </c>
      <c r="K333">
        <v>434398</v>
      </c>
    </row>
    <row r="334" spans="1:11" x14ac:dyDescent="0.25">
      <c r="A334" s="1">
        <v>45602</v>
      </c>
      <c r="B334" t="s">
        <v>18</v>
      </c>
      <c r="C334" t="s">
        <v>15</v>
      </c>
      <c r="D334">
        <v>41563</v>
      </c>
      <c r="E334">
        <v>545</v>
      </c>
      <c r="F334">
        <v>22651835</v>
      </c>
      <c r="G334">
        <v>491</v>
      </c>
      <c r="H334">
        <v>2244402</v>
      </c>
      <c r="I334" t="s">
        <v>17</v>
      </c>
      <c r="J334">
        <v>405390</v>
      </c>
      <c r="K334">
        <v>363827</v>
      </c>
    </row>
    <row r="335" spans="1:11" x14ac:dyDescent="0.25">
      <c r="A335" s="1">
        <v>45603</v>
      </c>
      <c r="B335" t="s">
        <v>11</v>
      </c>
      <c r="C335" t="s">
        <v>12</v>
      </c>
      <c r="D335">
        <v>50707</v>
      </c>
      <c r="E335">
        <v>670</v>
      </c>
      <c r="F335">
        <v>33973690</v>
      </c>
      <c r="G335">
        <v>638</v>
      </c>
      <c r="H335">
        <v>1622624</v>
      </c>
      <c r="I335" t="s">
        <v>13</v>
      </c>
      <c r="J335">
        <v>392860</v>
      </c>
      <c r="K335">
        <v>342153</v>
      </c>
    </row>
    <row r="336" spans="1:11" x14ac:dyDescent="0.25">
      <c r="A336" s="1">
        <v>45603</v>
      </c>
      <c r="B336" t="s">
        <v>11</v>
      </c>
      <c r="C336" t="s">
        <v>14</v>
      </c>
      <c r="D336">
        <v>58827</v>
      </c>
      <c r="E336">
        <v>773</v>
      </c>
      <c r="F336">
        <v>45473271</v>
      </c>
      <c r="G336">
        <v>741</v>
      </c>
      <c r="H336">
        <v>1882464</v>
      </c>
      <c r="I336" t="s">
        <v>13</v>
      </c>
      <c r="J336">
        <v>346323</v>
      </c>
      <c r="K336">
        <v>287496</v>
      </c>
    </row>
    <row r="337" spans="1:11" x14ac:dyDescent="0.25">
      <c r="A337" s="1">
        <v>45603</v>
      </c>
      <c r="B337" t="s">
        <v>11</v>
      </c>
      <c r="C337" t="s">
        <v>15</v>
      </c>
      <c r="D337">
        <v>20526</v>
      </c>
      <c r="E337">
        <v>524</v>
      </c>
      <c r="F337">
        <v>10755624</v>
      </c>
      <c r="G337">
        <v>465</v>
      </c>
      <c r="H337">
        <v>1211034</v>
      </c>
      <c r="I337" t="s">
        <v>17</v>
      </c>
      <c r="J337">
        <v>460550</v>
      </c>
      <c r="K337">
        <v>440024</v>
      </c>
    </row>
    <row r="338" spans="1:11" x14ac:dyDescent="0.25">
      <c r="A338" s="1">
        <v>45603</v>
      </c>
      <c r="B338" t="s">
        <v>16</v>
      </c>
      <c r="C338" t="s">
        <v>12</v>
      </c>
      <c r="D338">
        <v>48541</v>
      </c>
      <c r="E338">
        <v>683</v>
      </c>
      <c r="F338">
        <v>33153503</v>
      </c>
      <c r="G338">
        <v>618</v>
      </c>
      <c r="H338">
        <v>3155165</v>
      </c>
      <c r="I338" t="s">
        <v>13</v>
      </c>
      <c r="J338">
        <v>470856</v>
      </c>
      <c r="K338">
        <v>422315</v>
      </c>
    </row>
    <row r="339" spans="1:11" x14ac:dyDescent="0.25">
      <c r="A339" s="1">
        <v>45603</v>
      </c>
      <c r="B339" t="s">
        <v>16</v>
      </c>
      <c r="C339" t="s">
        <v>14</v>
      </c>
      <c r="D339">
        <v>85455</v>
      </c>
      <c r="E339">
        <v>812</v>
      </c>
      <c r="F339">
        <v>69389460</v>
      </c>
      <c r="G339">
        <v>761</v>
      </c>
      <c r="H339">
        <v>4358205</v>
      </c>
      <c r="I339" t="s">
        <v>17</v>
      </c>
      <c r="J339">
        <v>467253</v>
      </c>
      <c r="K339">
        <v>381798</v>
      </c>
    </row>
    <row r="340" spans="1:11" x14ac:dyDescent="0.25">
      <c r="A340" s="1">
        <v>45603</v>
      </c>
      <c r="B340" t="s">
        <v>16</v>
      </c>
      <c r="C340" t="s">
        <v>15</v>
      </c>
      <c r="D340">
        <v>69268</v>
      </c>
      <c r="E340">
        <v>501</v>
      </c>
      <c r="F340">
        <v>34703268</v>
      </c>
      <c r="G340">
        <v>448</v>
      </c>
      <c r="H340">
        <v>3671204</v>
      </c>
      <c r="I340" t="s">
        <v>17</v>
      </c>
      <c r="J340">
        <v>282503</v>
      </c>
      <c r="K340">
        <v>213235</v>
      </c>
    </row>
    <row r="341" spans="1:11" x14ac:dyDescent="0.25">
      <c r="A341" s="1">
        <v>45603</v>
      </c>
      <c r="B341" t="s">
        <v>18</v>
      </c>
      <c r="C341" t="s">
        <v>12</v>
      </c>
      <c r="D341">
        <v>49759</v>
      </c>
      <c r="E341">
        <v>676</v>
      </c>
      <c r="F341">
        <v>33637084</v>
      </c>
      <c r="G341">
        <v>630</v>
      </c>
      <c r="H341">
        <v>2288914</v>
      </c>
      <c r="I341" t="s">
        <v>17</v>
      </c>
      <c r="J341">
        <v>302471</v>
      </c>
      <c r="K341">
        <v>252712</v>
      </c>
    </row>
    <row r="342" spans="1:11" x14ac:dyDescent="0.25">
      <c r="A342" s="1">
        <v>45603</v>
      </c>
      <c r="B342" t="s">
        <v>18</v>
      </c>
      <c r="C342" t="s">
        <v>14</v>
      </c>
      <c r="D342">
        <v>46589</v>
      </c>
      <c r="E342">
        <v>813</v>
      </c>
      <c r="F342">
        <v>37876857</v>
      </c>
      <c r="G342">
        <v>766</v>
      </c>
      <c r="H342">
        <v>2189683</v>
      </c>
      <c r="I342" t="s">
        <v>13</v>
      </c>
      <c r="J342">
        <v>393118</v>
      </c>
      <c r="K342">
        <v>346529</v>
      </c>
    </row>
    <row r="343" spans="1:11" x14ac:dyDescent="0.25">
      <c r="A343" s="1">
        <v>45603</v>
      </c>
      <c r="B343" t="s">
        <v>18</v>
      </c>
      <c r="C343" t="s">
        <v>15</v>
      </c>
      <c r="D343">
        <v>46143</v>
      </c>
      <c r="E343">
        <v>510</v>
      </c>
      <c r="F343">
        <v>23532930</v>
      </c>
      <c r="G343">
        <v>436</v>
      </c>
      <c r="H343">
        <v>3414582</v>
      </c>
      <c r="I343" t="s">
        <v>13</v>
      </c>
      <c r="J343">
        <v>264288</v>
      </c>
      <c r="K343">
        <v>218145</v>
      </c>
    </row>
    <row r="344" spans="1:11" x14ac:dyDescent="0.25">
      <c r="A344" s="1">
        <v>45604</v>
      </c>
      <c r="B344" t="s">
        <v>11</v>
      </c>
      <c r="C344" t="s">
        <v>12</v>
      </c>
      <c r="D344">
        <v>40581</v>
      </c>
      <c r="E344">
        <v>640</v>
      </c>
      <c r="F344">
        <v>25971840</v>
      </c>
      <c r="G344">
        <v>603</v>
      </c>
      <c r="H344">
        <v>1501497</v>
      </c>
      <c r="I344" t="s">
        <v>13</v>
      </c>
      <c r="J344">
        <v>381002</v>
      </c>
      <c r="K344">
        <v>340421</v>
      </c>
    </row>
    <row r="345" spans="1:11" x14ac:dyDescent="0.25">
      <c r="A345" s="1">
        <v>45604</v>
      </c>
      <c r="B345" t="s">
        <v>11</v>
      </c>
      <c r="C345" t="s">
        <v>14</v>
      </c>
      <c r="D345">
        <v>89298</v>
      </c>
      <c r="E345">
        <v>837</v>
      </c>
      <c r="F345">
        <v>74742426</v>
      </c>
      <c r="G345">
        <v>767</v>
      </c>
      <c r="H345">
        <v>6250860</v>
      </c>
      <c r="I345" t="s">
        <v>17</v>
      </c>
      <c r="J345">
        <v>239499</v>
      </c>
      <c r="K345">
        <v>150201</v>
      </c>
    </row>
    <row r="346" spans="1:11" x14ac:dyDescent="0.25">
      <c r="A346" s="1">
        <v>45604</v>
      </c>
      <c r="B346" t="s">
        <v>11</v>
      </c>
      <c r="C346" t="s">
        <v>15</v>
      </c>
      <c r="D346">
        <v>72269</v>
      </c>
      <c r="E346">
        <v>531</v>
      </c>
      <c r="F346">
        <v>38374839</v>
      </c>
      <c r="G346">
        <v>487</v>
      </c>
      <c r="H346">
        <v>3179836</v>
      </c>
      <c r="I346" t="s">
        <v>13</v>
      </c>
      <c r="J346">
        <v>442997</v>
      </c>
      <c r="K346">
        <v>370728</v>
      </c>
    </row>
    <row r="347" spans="1:11" x14ac:dyDescent="0.25">
      <c r="A347" s="1">
        <v>45604</v>
      </c>
      <c r="B347" t="s">
        <v>16</v>
      </c>
      <c r="C347" t="s">
        <v>12</v>
      </c>
      <c r="D347">
        <v>68787</v>
      </c>
      <c r="E347">
        <v>632</v>
      </c>
      <c r="F347">
        <v>43473384</v>
      </c>
      <c r="G347">
        <v>593</v>
      </c>
      <c r="H347">
        <v>2682693</v>
      </c>
      <c r="I347" t="s">
        <v>13</v>
      </c>
      <c r="J347">
        <v>405735</v>
      </c>
      <c r="K347">
        <v>336948</v>
      </c>
    </row>
    <row r="348" spans="1:11" x14ac:dyDescent="0.25">
      <c r="A348" s="1">
        <v>45604</v>
      </c>
      <c r="B348" t="s">
        <v>16</v>
      </c>
      <c r="C348" t="s">
        <v>14</v>
      </c>
      <c r="D348">
        <v>81681</v>
      </c>
      <c r="E348">
        <v>846</v>
      </c>
      <c r="F348">
        <v>69102126</v>
      </c>
      <c r="G348">
        <v>815</v>
      </c>
      <c r="H348">
        <v>2532111</v>
      </c>
      <c r="I348" t="s">
        <v>17</v>
      </c>
      <c r="J348">
        <v>468512</v>
      </c>
      <c r="K348">
        <v>386831</v>
      </c>
    </row>
    <row r="349" spans="1:11" x14ac:dyDescent="0.25">
      <c r="A349" s="1">
        <v>45604</v>
      </c>
      <c r="B349" t="s">
        <v>16</v>
      </c>
      <c r="C349" t="s">
        <v>15</v>
      </c>
      <c r="D349">
        <v>65004</v>
      </c>
      <c r="E349">
        <v>529</v>
      </c>
      <c r="F349">
        <v>34387116</v>
      </c>
      <c r="G349">
        <v>467</v>
      </c>
      <c r="H349">
        <v>4030248</v>
      </c>
      <c r="I349" t="s">
        <v>13</v>
      </c>
      <c r="J349">
        <v>419724</v>
      </c>
      <c r="K349">
        <v>354720</v>
      </c>
    </row>
    <row r="350" spans="1:11" x14ac:dyDescent="0.25">
      <c r="A350" s="1">
        <v>45604</v>
      </c>
      <c r="B350" t="s">
        <v>18</v>
      </c>
      <c r="C350" t="s">
        <v>12</v>
      </c>
      <c r="D350">
        <v>76985</v>
      </c>
      <c r="E350">
        <v>621</v>
      </c>
      <c r="F350">
        <v>47807685</v>
      </c>
      <c r="G350">
        <v>553</v>
      </c>
      <c r="H350">
        <v>5234980</v>
      </c>
      <c r="I350" t="s">
        <v>13</v>
      </c>
      <c r="J350">
        <v>308737</v>
      </c>
      <c r="K350">
        <v>231752</v>
      </c>
    </row>
    <row r="351" spans="1:11" x14ac:dyDescent="0.25">
      <c r="A351" s="1">
        <v>45604</v>
      </c>
      <c r="B351" t="s">
        <v>18</v>
      </c>
      <c r="C351" t="s">
        <v>14</v>
      </c>
      <c r="D351">
        <v>43398</v>
      </c>
      <c r="E351">
        <v>839</v>
      </c>
      <c r="F351">
        <v>36410922</v>
      </c>
      <c r="G351">
        <v>764</v>
      </c>
      <c r="H351">
        <v>3254850</v>
      </c>
      <c r="I351" t="s">
        <v>17</v>
      </c>
      <c r="J351">
        <v>412977</v>
      </c>
      <c r="K351">
        <v>369579</v>
      </c>
    </row>
    <row r="352" spans="1:11" x14ac:dyDescent="0.25">
      <c r="A352" s="1">
        <v>45604</v>
      </c>
      <c r="B352" t="s">
        <v>18</v>
      </c>
      <c r="C352" t="s">
        <v>15</v>
      </c>
      <c r="D352">
        <v>88577</v>
      </c>
      <c r="E352">
        <v>543</v>
      </c>
      <c r="F352">
        <v>48097311</v>
      </c>
      <c r="G352">
        <v>465</v>
      </c>
      <c r="H352">
        <v>6909006</v>
      </c>
      <c r="I352" t="s">
        <v>17</v>
      </c>
      <c r="J352">
        <v>251047</v>
      </c>
      <c r="K352">
        <v>162470</v>
      </c>
    </row>
    <row r="353" spans="1:11" x14ac:dyDescent="0.25">
      <c r="A353" s="1">
        <v>45605</v>
      </c>
      <c r="B353" t="s">
        <v>11</v>
      </c>
      <c r="C353" t="s">
        <v>12</v>
      </c>
      <c r="D353">
        <v>77660</v>
      </c>
      <c r="E353">
        <v>666</v>
      </c>
      <c r="F353">
        <v>51721560</v>
      </c>
      <c r="G353">
        <v>631</v>
      </c>
      <c r="H353">
        <v>2718100</v>
      </c>
      <c r="I353" t="s">
        <v>13</v>
      </c>
      <c r="J353">
        <v>415048</v>
      </c>
      <c r="K353">
        <v>337388</v>
      </c>
    </row>
    <row r="354" spans="1:11" x14ac:dyDescent="0.25">
      <c r="A354" s="1">
        <v>45605</v>
      </c>
      <c r="B354" t="s">
        <v>11</v>
      </c>
      <c r="C354" t="s">
        <v>14</v>
      </c>
      <c r="D354">
        <v>46015</v>
      </c>
      <c r="E354">
        <v>790</v>
      </c>
      <c r="F354">
        <v>36351850</v>
      </c>
      <c r="G354">
        <v>711</v>
      </c>
      <c r="H354">
        <v>3635185</v>
      </c>
      <c r="I354" t="s">
        <v>13</v>
      </c>
      <c r="J354">
        <v>290827</v>
      </c>
      <c r="K354">
        <v>244812</v>
      </c>
    </row>
    <row r="355" spans="1:11" x14ac:dyDescent="0.25">
      <c r="A355" s="1">
        <v>45605</v>
      </c>
      <c r="B355" t="s">
        <v>11</v>
      </c>
      <c r="C355" t="s">
        <v>15</v>
      </c>
      <c r="D355">
        <v>46289</v>
      </c>
      <c r="E355">
        <v>591</v>
      </c>
      <c r="F355">
        <v>27356799</v>
      </c>
      <c r="G355">
        <v>542</v>
      </c>
      <c r="H355">
        <v>2268161</v>
      </c>
      <c r="I355" t="s">
        <v>17</v>
      </c>
      <c r="J355">
        <v>224826</v>
      </c>
      <c r="K355">
        <v>178537</v>
      </c>
    </row>
    <row r="356" spans="1:11" x14ac:dyDescent="0.25">
      <c r="A356" s="1">
        <v>45605</v>
      </c>
      <c r="B356" t="s">
        <v>16</v>
      </c>
      <c r="C356" t="s">
        <v>12</v>
      </c>
      <c r="D356">
        <v>46630</v>
      </c>
      <c r="E356">
        <v>674</v>
      </c>
      <c r="F356">
        <v>31428620</v>
      </c>
      <c r="G356">
        <v>625</v>
      </c>
      <c r="H356">
        <v>2284870</v>
      </c>
      <c r="I356" t="s">
        <v>13</v>
      </c>
      <c r="J356">
        <v>298511</v>
      </c>
      <c r="K356">
        <v>251881</v>
      </c>
    </row>
    <row r="357" spans="1:11" x14ac:dyDescent="0.25">
      <c r="A357" s="1">
        <v>45605</v>
      </c>
      <c r="B357" t="s">
        <v>16</v>
      </c>
      <c r="C357" t="s">
        <v>14</v>
      </c>
      <c r="D357">
        <v>31653</v>
      </c>
      <c r="E357">
        <v>807</v>
      </c>
      <c r="F357">
        <v>25543971</v>
      </c>
      <c r="G357">
        <v>756</v>
      </c>
      <c r="H357">
        <v>1614303</v>
      </c>
      <c r="I357" t="s">
        <v>17</v>
      </c>
      <c r="J357">
        <v>405209</v>
      </c>
      <c r="K357">
        <v>373556</v>
      </c>
    </row>
    <row r="358" spans="1:11" x14ac:dyDescent="0.25">
      <c r="A358" s="1">
        <v>45605</v>
      </c>
      <c r="B358" t="s">
        <v>16</v>
      </c>
      <c r="C358" t="s">
        <v>15</v>
      </c>
      <c r="D358">
        <v>76446</v>
      </c>
      <c r="E358">
        <v>540</v>
      </c>
      <c r="F358">
        <v>41280840</v>
      </c>
      <c r="G358">
        <v>469</v>
      </c>
      <c r="H358">
        <v>5427666</v>
      </c>
      <c r="I358" t="s">
        <v>17</v>
      </c>
      <c r="J358">
        <v>236877</v>
      </c>
      <c r="K358">
        <v>160431</v>
      </c>
    </row>
    <row r="359" spans="1:11" x14ac:dyDescent="0.25">
      <c r="A359" s="1">
        <v>45605</v>
      </c>
      <c r="B359" t="s">
        <v>18</v>
      </c>
      <c r="C359" t="s">
        <v>12</v>
      </c>
      <c r="D359">
        <v>35313</v>
      </c>
      <c r="E359">
        <v>611</v>
      </c>
      <c r="F359">
        <v>21576243</v>
      </c>
      <c r="G359">
        <v>559</v>
      </c>
      <c r="H359">
        <v>1836276</v>
      </c>
      <c r="I359" t="s">
        <v>17</v>
      </c>
      <c r="J359">
        <v>310091</v>
      </c>
      <c r="K359">
        <v>274778</v>
      </c>
    </row>
    <row r="360" spans="1:11" x14ac:dyDescent="0.25">
      <c r="A360" s="1">
        <v>45605</v>
      </c>
      <c r="B360" t="s">
        <v>18</v>
      </c>
      <c r="C360" t="s">
        <v>14</v>
      </c>
      <c r="D360">
        <v>21560</v>
      </c>
      <c r="E360">
        <v>794</v>
      </c>
      <c r="F360">
        <v>17118640</v>
      </c>
      <c r="G360">
        <v>746</v>
      </c>
      <c r="H360">
        <v>1034880</v>
      </c>
      <c r="I360" t="s">
        <v>13</v>
      </c>
      <c r="J360">
        <v>351094</v>
      </c>
      <c r="K360">
        <v>329534</v>
      </c>
    </row>
    <row r="361" spans="1:11" x14ac:dyDescent="0.25">
      <c r="A361" s="1">
        <v>45605</v>
      </c>
      <c r="B361" t="s">
        <v>18</v>
      </c>
      <c r="C361" t="s">
        <v>15</v>
      </c>
      <c r="D361">
        <v>72579</v>
      </c>
      <c r="E361">
        <v>544</v>
      </c>
      <c r="F361">
        <v>39482976</v>
      </c>
      <c r="G361">
        <v>507</v>
      </c>
      <c r="H361">
        <v>2685423</v>
      </c>
      <c r="I361" t="s">
        <v>17</v>
      </c>
      <c r="J361">
        <v>228380</v>
      </c>
      <c r="K361">
        <v>155801</v>
      </c>
    </row>
    <row r="362" spans="1:11" x14ac:dyDescent="0.25">
      <c r="A362" s="1">
        <v>45606</v>
      </c>
      <c r="B362" t="s">
        <v>11</v>
      </c>
      <c r="C362" t="s">
        <v>12</v>
      </c>
      <c r="D362">
        <v>22356</v>
      </c>
      <c r="E362">
        <v>654</v>
      </c>
      <c r="F362">
        <v>14620824</v>
      </c>
      <c r="G362">
        <v>593</v>
      </c>
      <c r="H362">
        <v>1363716</v>
      </c>
      <c r="I362" t="s">
        <v>13</v>
      </c>
      <c r="J362">
        <v>314994</v>
      </c>
      <c r="K362">
        <v>292638</v>
      </c>
    </row>
    <row r="363" spans="1:11" x14ac:dyDescent="0.25">
      <c r="A363" s="1">
        <v>45606</v>
      </c>
      <c r="B363" t="s">
        <v>11</v>
      </c>
      <c r="C363" t="s">
        <v>14</v>
      </c>
      <c r="D363">
        <v>40049</v>
      </c>
      <c r="E363">
        <v>895</v>
      </c>
      <c r="F363">
        <v>35843855</v>
      </c>
      <c r="G363">
        <v>847</v>
      </c>
      <c r="H363">
        <v>1922352</v>
      </c>
      <c r="I363" t="s">
        <v>17</v>
      </c>
      <c r="J363">
        <v>462805</v>
      </c>
      <c r="K363">
        <v>422756</v>
      </c>
    </row>
    <row r="364" spans="1:11" x14ac:dyDescent="0.25">
      <c r="A364" s="1">
        <v>45606</v>
      </c>
      <c r="B364" t="s">
        <v>11</v>
      </c>
      <c r="C364" t="s">
        <v>15</v>
      </c>
      <c r="D364">
        <v>22920</v>
      </c>
      <c r="E364">
        <v>558</v>
      </c>
      <c r="F364">
        <v>12789360</v>
      </c>
      <c r="G364">
        <v>526</v>
      </c>
      <c r="H364">
        <v>733440</v>
      </c>
      <c r="I364" t="s">
        <v>17</v>
      </c>
      <c r="J364">
        <v>471090</v>
      </c>
      <c r="K364">
        <v>448170</v>
      </c>
    </row>
    <row r="365" spans="1:11" x14ac:dyDescent="0.25">
      <c r="A365" s="1">
        <v>45606</v>
      </c>
      <c r="B365" t="s">
        <v>16</v>
      </c>
      <c r="C365" t="s">
        <v>12</v>
      </c>
      <c r="D365">
        <v>65500</v>
      </c>
      <c r="E365">
        <v>692</v>
      </c>
      <c r="F365">
        <v>45326000</v>
      </c>
      <c r="G365">
        <v>648</v>
      </c>
      <c r="H365">
        <v>2882000</v>
      </c>
      <c r="I365" t="s">
        <v>17</v>
      </c>
      <c r="J365">
        <v>259321</v>
      </c>
      <c r="K365">
        <v>193821</v>
      </c>
    </row>
    <row r="366" spans="1:11" x14ac:dyDescent="0.25">
      <c r="A366" s="1">
        <v>45606</v>
      </c>
      <c r="B366" t="s">
        <v>16</v>
      </c>
      <c r="C366" t="s">
        <v>14</v>
      </c>
      <c r="D366">
        <v>67908</v>
      </c>
      <c r="E366">
        <v>753</v>
      </c>
      <c r="F366">
        <v>51134724</v>
      </c>
      <c r="G366">
        <v>696</v>
      </c>
      <c r="H366">
        <v>3870756</v>
      </c>
      <c r="I366" t="s">
        <v>13</v>
      </c>
      <c r="J366">
        <v>488107</v>
      </c>
      <c r="K366">
        <v>420199</v>
      </c>
    </row>
    <row r="367" spans="1:11" x14ac:dyDescent="0.25">
      <c r="A367" s="1">
        <v>45606</v>
      </c>
      <c r="B367" t="s">
        <v>16</v>
      </c>
      <c r="C367" t="s">
        <v>15</v>
      </c>
      <c r="D367">
        <v>59443</v>
      </c>
      <c r="E367">
        <v>559</v>
      </c>
      <c r="F367">
        <v>33228637</v>
      </c>
      <c r="G367">
        <v>506</v>
      </c>
      <c r="H367">
        <v>3150479</v>
      </c>
      <c r="I367" t="s">
        <v>17</v>
      </c>
      <c r="J367">
        <v>466847</v>
      </c>
      <c r="K367">
        <v>407404</v>
      </c>
    </row>
    <row r="368" spans="1:11" x14ac:dyDescent="0.25">
      <c r="A368" s="1">
        <v>45606</v>
      </c>
      <c r="B368" t="s">
        <v>18</v>
      </c>
      <c r="C368" t="s">
        <v>12</v>
      </c>
      <c r="D368">
        <v>45849</v>
      </c>
      <c r="E368">
        <v>697</v>
      </c>
      <c r="F368">
        <v>31956753</v>
      </c>
      <c r="G368">
        <v>632</v>
      </c>
      <c r="H368">
        <v>2980185</v>
      </c>
      <c r="I368" t="s">
        <v>17</v>
      </c>
      <c r="J368">
        <v>243585</v>
      </c>
      <c r="K368">
        <v>197736</v>
      </c>
    </row>
    <row r="369" spans="1:11" x14ac:dyDescent="0.25">
      <c r="A369" s="1">
        <v>45606</v>
      </c>
      <c r="B369" t="s">
        <v>18</v>
      </c>
      <c r="C369" t="s">
        <v>14</v>
      </c>
      <c r="D369">
        <v>46017</v>
      </c>
      <c r="E369">
        <v>755</v>
      </c>
      <c r="F369">
        <v>34742835</v>
      </c>
      <c r="G369">
        <v>687</v>
      </c>
      <c r="H369">
        <v>3129156</v>
      </c>
      <c r="I369" t="s">
        <v>17</v>
      </c>
      <c r="J369">
        <v>491570</v>
      </c>
      <c r="K369">
        <v>445553</v>
      </c>
    </row>
    <row r="370" spans="1:11" x14ac:dyDescent="0.25">
      <c r="A370" s="1">
        <v>45606</v>
      </c>
      <c r="B370" t="s">
        <v>18</v>
      </c>
      <c r="C370" t="s">
        <v>15</v>
      </c>
      <c r="D370">
        <v>65241</v>
      </c>
      <c r="E370">
        <v>511</v>
      </c>
      <c r="F370">
        <v>33338151</v>
      </c>
      <c r="G370">
        <v>479</v>
      </c>
      <c r="H370">
        <v>2087712</v>
      </c>
      <c r="I370" t="s">
        <v>13</v>
      </c>
      <c r="J370">
        <v>379436</v>
      </c>
      <c r="K370">
        <v>314195</v>
      </c>
    </row>
    <row r="371" spans="1:11" x14ac:dyDescent="0.25">
      <c r="A371" s="1">
        <v>45607</v>
      </c>
      <c r="B371" t="s">
        <v>11</v>
      </c>
      <c r="C371" t="s">
        <v>12</v>
      </c>
      <c r="D371">
        <v>77056</v>
      </c>
      <c r="E371">
        <v>698</v>
      </c>
      <c r="F371">
        <v>53785088</v>
      </c>
      <c r="G371">
        <v>643</v>
      </c>
      <c r="H371">
        <v>4238080</v>
      </c>
      <c r="I371" t="s">
        <v>13</v>
      </c>
      <c r="J371">
        <v>219975</v>
      </c>
      <c r="K371">
        <v>142919</v>
      </c>
    </row>
    <row r="372" spans="1:11" x14ac:dyDescent="0.25">
      <c r="A372" s="1">
        <v>45607</v>
      </c>
      <c r="B372" t="s">
        <v>11</v>
      </c>
      <c r="C372" t="s">
        <v>14</v>
      </c>
      <c r="D372">
        <v>43279</v>
      </c>
      <c r="E372">
        <v>836</v>
      </c>
      <c r="F372">
        <v>36181244</v>
      </c>
      <c r="G372">
        <v>765</v>
      </c>
      <c r="H372">
        <v>3072809</v>
      </c>
      <c r="I372" t="s">
        <v>13</v>
      </c>
      <c r="J372">
        <v>397133</v>
      </c>
      <c r="K372">
        <v>353854</v>
      </c>
    </row>
    <row r="373" spans="1:11" x14ac:dyDescent="0.25">
      <c r="A373" s="1">
        <v>45607</v>
      </c>
      <c r="B373" t="s">
        <v>11</v>
      </c>
      <c r="C373" t="s">
        <v>15</v>
      </c>
      <c r="D373">
        <v>69153</v>
      </c>
      <c r="E373">
        <v>536</v>
      </c>
      <c r="F373">
        <v>37066008</v>
      </c>
      <c r="G373">
        <v>502</v>
      </c>
      <c r="H373">
        <v>2351202</v>
      </c>
      <c r="I373" t="s">
        <v>17</v>
      </c>
      <c r="J373">
        <v>376037</v>
      </c>
      <c r="K373">
        <v>306884</v>
      </c>
    </row>
    <row r="374" spans="1:11" x14ac:dyDescent="0.25">
      <c r="A374" s="1">
        <v>45607</v>
      </c>
      <c r="B374" t="s">
        <v>16</v>
      </c>
      <c r="C374" t="s">
        <v>12</v>
      </c>
      <c r="D374">
        <v>24648</v>
      </c>
      <c r="E374">
        <v>661</v>
      </c>
      <c r="F374">
        <v>16292328</v>
      </c>
      <c r="G374">
        <v>585</v>
      </c>
      <c r="H374">
        <v>1873248</v>
      </c>
      <c r="I374" t="s">
        <v>13</v>
      </c>
      <c r="J374">
        <v>298317</v>
      </c>
      <c r="K374">
        <v>273669</v>
      </c>
    </row>
    <row r="375" spans="1:11" x14ac:dyDescent="0.25">
      <c r="A375" s="1">
        <v>45607</v>
      </c>
      <c r="B375" t="s">
        <v>16</v>
      </c>
      <c r="C375" t="s">
        <v>14</v>
      </c>
      <c r="D375">
        <v>55046</v>
      </c>
      <c r="E375">
        <v>833</v>
      </c>
      <c r="F375">
        <v>45853318</v>
      </c>
      <c r="G375">
        <v>802</v>
      </c>
      <c r="H375">
        <v>1706426</v>
      </c>
      <c r="I375" t="s">
        <v>13</v>
      </c>
      <c r="J375">
        <v>400422</v>
      </c>
      <c r="K375">
        <v>345376</v>
      </c>
    </row>
    <row r="376" spans="1:11" x14ac:dyDescent="0.25">
      <c r="A376" s="1">
        <v>45607</v>
      </c>
      <c r="B376" t="s">
        <v>16</v>
      </c>
      <c r="C376" t="s">
        <v>15</v>
      </c>
      <c r="D376">
        <v>81272</v>
      </c>
      <c r="E376">
        <v>527</v>
      </c>
      <c r="F376">
        <v>42830344</v>
      </c>
      <c r="G376">
        <v>496</v>
      </c>
      <c r="H376">
        <v>2519432</v>
      </c>
      <c r="I376" t="s">
        <v>13</v>
      </c>
      <c r="J376">
        <v>344832</v>
      </c>
      <c r="K376">
        <v>263560</v>
      </c>
    </row>
    <row r="377" spans="1:11" x14ac:dyDescent="0.25">
      <c r="A377" s="1">
        <v>45607</v>
      </c>
      <c r="B377" t="s">
        <v>18</v>
      </c>
      <c r="C377" t="s">
        <v>12</v>
      </c>
      <c r="D377">
        <v>81367</v>
      </c>
      <c r="E377">
        <v>635</v>
      </c>
      <c r="F377">
        <v>51668045</v>
      </c>
      <c r="G377">
        <v>561</v>
      </c>
      <c r="H377">
        <v>6021158</v>
      </c>
      <c r="I377" t="s">
        <v>17</v>
      </c>
      <c r="J377">
        <v>432750</v>
      </c>
      <c r="K377">
        <v>351383</v>
      </c>
    </row>
    <row r="378" spans="1:11" x14ac:dyDescent="0.25">
      <c r="A378" s="1">
        <v>45607</v>
      </c>
      <c r="B378" t="s">
        <v>18</v>
      </c>
      <c r="C378" t="s">
        <v>14</v>
      </c>
      <c r="D378">
        <v>72233</v>
      </c>
      <c r="E378">
        <v>867</v>
      </c>
      <c r="F378">
        <v>62626011</v>
      </c>
      <c r="G378">
        <v>824</v>
      </c>
      <c r="H378">
        <v>3106019</v>
      </c>
      <c r="I378" t="s">
        <v>13</v>
      </c>
      <c r="J378">
        <v>402332</v>
      </c>
      <c r="K378">
        <v>330099</v>
      </c>
    </row>
    <row r="379" spans="1:11" x14ac:dyDescent="0.25">
      <c r="A379" s="1">
        <v>45607</v>
      </c>
      <c r="B379" t="s">
        <v>18</v>
      </c>
      <c r="C379" t="s">
        <v>15</v>
      </c>
      <c r="D379">
        <v>39816</v>
      </c>
      <c r="E379">
        <v>500</v>
      </c>
      <c r="F379">
        <v>19908000</v>
      </c>
      <c r="G379">
        <v>466</v>
      </c>
      <c r="H379">
        <v>1353744</v>
      </c>
      <c r="I379" t="s">
        <v>13</v>
      </c>
      <c r="J379">
        <v>445011</v>
      </c>
      <c r="K379">
        <v>405195</v>
      </c>
    </row>
    <row r="380" spans="1:11" x14ac:dyDescent="0.25">
      <c r="A380" s="1">
        <v>45608</v>
      </c>
      <c r="B380" t="s">
        <v>11</v>
      </c>
      <c r="C380" t="s">
        <v>12</v>
      </c>
      <c r="D380">
        <v>43499</v>
      </c>
      <c r="E380">
        <v>600</v>
      </c>
      <c r="F380">
        <v>26099400</v>
      </c>
      <c r="G380">
        <v>551</v>
      </c>
      <c r="H380">
        <v>2131451</v>
      </c>
      <c r="I380" t="s">
        <v>17</v>
      </c>
      <c r="J380">
        <v>416184</v>
      </c>
      <c r="K380">
        <v>372685</v>
      </c>
    </row>
    <row r="381" spans="1:11" x14ac:dyDescent="0.25">
      <c r="A381" s="1">
        <v>45608</v>
      </c>
      <c r="B381" t="s">
        <v>11</v>
      </c>
      <c r="C381" t="s">
        <v>14</v>
      </c>
      <c r="D381">
        <v>75204</v>
      </c>
      <c r="E381">
        <v>798</v>
      </c>
      <c r="F381">
        <v>60012792</v>
      </c>
      <c r="G381">
        <v>720</v>
      </c>
      <c r="H381">
        <v>5865912</v>
      </c>
      <c r="I381" t="s">
        <v>13</v>
      </c>
      <c r="J381">
        <v>471991</v>
      </c>
      <c r="K381">
        <v>396787</v>
      </c>
    </row>
    <row r="382" spans="1:11" x14ac:dyDescent="0.25">
      <c r="A382" s="1">
        <v>45608</v>
      </c>
      <c r="B382" t="s">
        <v>11</v>
      </c>
      <c r="C382" t="s">
        <v>15</v>
      </c>
      <c r="D382">
        <v>87278</v>
      </c>
      <c r="E382">
        <v>505</v>
      </c>
      <c r="F382">
        <v>44075390</v>
      </c>
      <c r="G382">
        <v>432</v>
      </c>
      <c r="H382">
        <v>6371294</v>
      </c>
      <c r="I382" t="s">
        <v>13</v>
      </c>
      <c r="J382">
        <v>234707</v>
      </c>
      <c r="K382">
        <v>147429</v>
      </c>
    </row>
    <row r="383" spans="1:11" x14ac:dyDescent="0.25">
      <c r="A383" s="1">
        <v>45608</v>
      </c>
      <c r="B383" t="s">
        <v>16</v>
      </c>
      <c r="C383" t="s">
        <v>12</v>
      </c>
      <c r="D383">
        <v>86504</v>
      </c>
      <c r="E383">
        <v>636</v>
      </c>
      <c r="F383">
        <v>55016544</v>
      </c>
      <c r="G383">
        <v>587</v>
      </c>
      <c r="H383">
        <v>4238696</v>
      </c>
      <c r="I383" t="s">
        <v>17</v>
      </c>
      <c r="J383">
        <v>462425</v>
      </c>
      <c r="K383">
        <v>375921</v>
      </c>
    </row>
    <row r="384" spans="1:11" x14ac:dyDescent="0.25">
      <c r="A384" s="1">
        <v>45608</v>
      </c>
      <c r="B384" t="s">
        <v>16</v>
      </c>
      <c r="C384" t="s">
        <v>14</v>
      </c>
      <c r="D384">
        <v>59030</v>
      </c>
      <c r="E384">
        <v>784</v>
      </c>
      <c r="F384">
        <v>46279520</v>
      </c>
      <c r="G384">
        <v>749</v>
      </c>
      <c r="H384">
        <v>2066050</v>
      </c>
      <c r="I384" t="s">
        <v>17</v>
      </c>
      <c r="J384">
        <v>359476</v>
      </c>
      <c r="K384">
        <v>300446</v>
      </c>
    </row>
    <row r="385" spans="1:11" x14ac:dyDescent="0.25">
      <c r="A385" s="1">
        <v>45608</v>
      </c>
      <c r="B385" t="s">
        <v>16</v>
      </c>
      <c r="C385" t="s">
        <v>15</v>
      </c>
      <c r="D385">
        <v>49856</v>
      </c>
      <c r="E385">
        <v>550</v>
      </c>
      <c r="F385">
        <v>27420800</v>
      </c>
      <c r="G385">
        <v>507</v>
      </c>
      <c r="H385">
        <v>2143808</v>
      </c>
      <c r="I385" t="s">
        <v>13</v>
      </c>
      <c r="J385">
        <v>319273</v>
      </c>
      <c r="K385">
        <v>269417</v>
      </c>
    </row>
    <row r="386" spans="1:11" x14ac:dyDescent="0.25">
      <c r="A386" s="1">
        <v>45608</v>
      </c>
      <c r="B386" t="s">
        <v>18</v>
      </c>
      <c r="C386" t="s">
        <v>12</v>
      </c>
      <c r="D386">
        <v>55057</v>
      </c>
      <c r="E386">
        <v>687</v>
      </c>
      <c r="F386">
        <v>37824159</v>
      </c>
      <c r="G386">
        <v>615</v>
      </c>
      <c r="H386">
        <v>3964104</v>
      </c>
      <c r="I386" t="s">
        <v>13</v>
      </c>
      <c r="J386">
        <v>396733</v>
      </c>
      <c r="K386">
        <v>341676</v>
      </c>
    </row>
    <row r="387" spans="1:11" x14ac:dyDescent="0.25">
      <c r="A387" s="1">
        <v>45608</v>
      </c>
      <c r="B387" t="s">
        <v>18</v>
      </c>
      <c r="C387" t="s">
        <v>14</v>
      </c>
      <c r="D387">
        <v>65272</v>
      </c>
      <c r="E387">
        <v>799</v>
      </c>
      <c r="F387">
        <v>52152328</v>
      </c>
      <c r="G387">
        <v>741</v>
      </c>
      <c r="H387">
        <v>3785776</v>
      </c>
      <c r="I387" t="s">
        <v>17</v>
      </c>
      <c r="J387">
        <v>346470</v>
      </c>
      <c r="K387">
        <v>281198</v>
      </c>
    </row>
    <row r="388" spans="1:11" x14ac:dyDescent="0.25">
      <c r="A388" s="1">
        <v>45608</v>
      </c>
      <c r="B388" t="s">
        <v>18</v>
      </c>
      <c r="C388" t="s">
        <v>15</v>
      </c>
      <c r="D388">
        <v>76503</v>
      </c>
      <c r="E388">
        <v>542</v>
      </c>
      <c r="F388">
        <v>41464626</v>
      </c>
      <c r="G388">
        <v>463</v>
      </c>
      <c r="H388">
        <v>6043737</v>
      </c>
      <c r="I388" t="s">
        <v>13</v>
      </c>
      <c r="J388">
        <v>209110</v>
      </c>
      <c r="K388">
        <v>132607</v>
      </c>
    </row>
    <row r="389" spans="1:11" x14ac:dyDescent="0.25">
      <c r="A389" s="1">
        <v>45609</v>
      </c>
      <c r="B389" t="s">
        <v>11</v>
      </c>
      <c r="C389" t="s">
        <v>12</v>
      </c>
      <c r="D389">
        <v>32115</v>
      </c>
      <c r="E389">
        <v>622</v>
      </c>
      <c r="F389">
        <v>19975530</v>
      </c>
      <c r="G389">
        <v>548</v>
      </c>
      <c r="H389">
        <v>2376510</v>
      </c>
      <c r="I389" t="s">
        <v>13</v>
      </c>
      <c r="J389">
        <v>201969</v>
      </c>
      <c r="K389">
        <v>169854</v>
      </c>
    </row>
    <row r="390" spans="1:11" x14ac:dyDescent="0.25">
      <c r="A390" s="1">
        <v>45609</v>
      </c>
      <c r="B390" t="s">
        <v>11</v>
      </c>
      <c r="C390" t="s">
        <v>14</v>
      </c>
      <c r="D390">
        <v>24470</v>
      </c>
      <c r="E390">
        <v>757</v>
      </c>
      <c r="F390">
        <v>18523790</v>
      </c>
      <c r="G390">
        <v>678</v>
      </c>
      <c r="H390">
        <v>1933130</v>
      </c>
      <c r="I390" t="s">
        <v>17</v>
      </c>
      <c r="J390">
        <v>323008</v>
      </c>
      <c r="K390">
        <v>298538</v>
      </c>
    </row>
    <row r="391" spans="1:11" x14ac:dyDescent="0.25">
      <c r="A391" s="1">
        <v>45609</v>
      </c>
      <c r="B391" t="s">
        <v>11</v>
      </c>
      <c r="C391" t="s">
        <v>15</v>
      </c>
      <c r="D391">
        <v>43196</v>
      </c>
      <c r="E391">
        <v>595</v>
      </c>
      <c r="F391">
        <v>25701620</v>
      </c>
      <c r="G391">
        <v>528</v>
      </c>
      <c r="H391">
        <v>2894132</v>
      </c>
      <c r="I391" t="s">
        <v>17</v>
      </c>
      <c r="J391">
        <v>310677</v>
      </c>
      <c r="K391">
        <v>267481</v>
      </c>
    </row>
    <row r="392" spans="1:11" x14ac:dyDescent="0.25">
      <c r="A392" s="1">
        <v>45609</v>
      </c>
      <c r="B392" t="s">
        <v>16</v>
      </c>
      <c r="C392" t="s">
        <v>12</v>
      </c>
      <c r="D392">
        <v>68320</v>
      </c>
      <c r="E392">
        <v>654</v>
      </c>
      <c r="F392">
        <v>44681280</v>
      </c>
      <c r="G392">
        <v>599</v>
      </c>
      <c r="H392">
        <v>3757600</v>
      </c>
      <c r="I392" t="s">
        <v>13</v>
      </c>
      <c r="J392">
        <v>325354</v>
      </c>
      <c r="K392">
        <v>257034</v>
      </c>
    </row>
    <row r="393" spans="1:11" x14ac:dyDescent="0.25">
      <c r="A393" s="1">
        <v>45609</v>
      </c>
      <c r="B393" t="s">
        <v>16</v>
      </c>
      <c r="C393" t="s">
        <v>14</v>
      </c>
      <c r="D393">
        <v>75409</v>
      </c>
      <c r="E393">
        <v>894</v>
      </c>
      <c r="F393">
        <v>67415646</v>
      </c>
      <c r="G393">
        <v>839</v>
      </c>
      <c r="H393">
        <v>4147495</v>
      </c>
      <c r="I393" t="s">
        <v>17</v>
      </c>
      <c r="J393">
        <v>236487</v>
      </c>
      <c r="K393">
        <v>161078</v>
      </c>
    </row>
    <row r="394" spans="1:11" x14ac:dyDescent="0.25">
      <c r="A394" s="1">
        <v>45609</v>
      </c>
      <c r="B394" t="s">
        <v>16</v>
      </c>
      <c r="C394" t="s">
        <v>15</v>
      </c>
      <c r="D394">
        <v>70138</v>
      </c>
      <c r="E394">
        <v>571</v>
      </c>
      <c r="F394">
        <v>40048798</v>
      </c>
      <c r="G394">
        <v>517</v>
      </c>
      <c r="H394">
        <v>3787452</v>
      </c>
      <c r="I394" t="s">
        <v>17</v>
      </c>
      <c r="J394">
        <v>301376</v>
      </c>
      <c r="K394">
        <v>231238</v>
      </c>
    </row>
    <row r="395" spans="1:11" x14ac:dyDescent="0.25">
      <c r="A395" s="1">
        <v>45609</v>
      </c>
      <c r="B395" t="s">
        <v>18</v>
      </c>
      <c r="C395" t="s">
        <v>12</v>
      </c>
      <c r="D395">
        <v>67055</v>
      </c>
      <c r="E395">
        <v>613</v>
      </c>
      <c r="F395">
        <v>41104715</v>
      </c>
      <c r="G395">
        <v>536</v>
      </c>
      <c r="H395">
        <v>5163235</v>
      </c>
      <c r="I395" t="s">
        <v>13</v>
      </c>
      <c r="J395">
        <v>358056</v>
      </c>
      <c r="K395">
        <v>291001</v>
      </c>
    </row>
    <row r="396" spans="1:11" x14ac:dyDescent="0.25">
      <c r="A396" s="1">
        <v>45609</v>
      </c>
      <c r="B396" t="s">
        <v>18</v>
      </c>
      <c r="C396" t="s">
        <v>14</v>
      </c>
      <c r="D396">
        <v>28125</v>
      </c>
      <c r="E396">
        <v>812</v>
      </c>
      <c r="F396">
        <v>22837500</v>
      </c>
      <c r="G396">
        <v>774</v>
      </c>
      <c r="H396">
        <v>1068750</v>
      </c>
      <c r="I396" t="s">
        <v>17</v>
      </c>
      <c r="J396">
        <v>404456</v>
      </c>
      <c r="K396">
        <v>376331</v>
      </c>
    </row>
    <row r="397" spans="1:11" x14ac:dyDescent="0.25">
      <c r="A397" s="1">
        <v>45609</v>
      </c>
      <c r="B397" t="s">
        <v>18</v>
      </c>
      <c r="C397" t="s">
        <v>15</v>
      </c>
      <c r="D397">
        <v>47208</v>
      </c>
      <c r="E397">
        <v>576</v>
      </c>
      <c r="F397">
        <v>27191808</v>
      </c>
      <c r="G397">
        <v>516</v>
      </c>
      <c r="H397">
        <v>2832480</v>
      </c>
      <c r="I397" t="s">
        <v>17</v>
      </c>
      <c r="J397">
        <v>397096</v>
      </c>
      <c r="K397">
        <v>349888</v>
      </c>
    </row>
    <row r="398" spans="1:11" x14ac:dyDescent="0.25">
      <c r="A398" s="1">
        <v>45610</v>
      </c>
      <c r="B398" t="s">
        <v>11</v>
      </c>
      <c r="C398" t="s">
        <v>12</v>
      </c>
      <c r="D398">
        <v>45923</v>
      </c>
      <c r="E398">
        <v>697</v>
      </c>
      <c r="F398">
        <v>32008331</v>
      </c>
      <c r="G398">
        <v>630</v>
      </c>
      <c r="H398">
        <v>3076841</v>
      </c>
      <c r="I398" t="s">
        <v>13</v>
      </c>
      <c r="J398">
        <v>229165</v>
      </c>
      <c r="K398">
        <v>183242</v>
      </c>
    </row>
    <row r="399" spans="1:11" x14ac:dyDescent="0.25">
      <c r="A399" s="1">
        <v>45610</v>
      </c>
      <c r="B399" t="s">
        <v>11</v>
      </c>
      <c r="C399" t="s">
        <v>14</v>
      </c>
      <c r="D399">
        <v>24114</v>
      </c>
      <c r="E399">
        <v>831</v>
      </c>
      <c r="F399">
        <v>20038734</v>
      </c>
      <c r="G399">
        <v>789</v>
      </c>
      <c r="H399">
        <v>1012788</v>
      </c>
      <c r="I399" t="s">
        <v>17</v>
      </c>
      <c r="J399">
        <v>445014</v>
      </c>
      <c r="K399">
        <v>420900</v>
      </c>
    </row>
    <row r="400" spans="1:11" x14ac:dyDescent="0.25">
      <c r="A400" s="1">
        <v>45610</v>
      </c>
      <c r="B400" t="s">
        <v>11</v>
      </c>
      <c r="C400" t="s">
        <v>15</v>
      </c>
      <c r="D400">
        <v>37772</v>
      </c>
      <c r="E400">
        <v>574</v>
      </c>
      <c r="F400">
        <v>21681128</v>
      </c>
      <c r="G400">
        <v>544</v>
      </c>
      <c r="H400">
        <v>1133160</v>
      </c>
      <c r="I400" t="s">
        <v>17</v>
      </c>
      <c r="J400">
        <v>438389</v>
      </c>
      <c r="K400">
        <v>400617</v>
      </c>
    </row>
    <row r="401" spans="1:11" x14ac:dyDescent="0.25">
      <c r="A401" s="1">
        <v>45610</v>
      </c>
      <c r="B401" t="s">
        <v>16</v>
      </c>
      <c r="C401" t="s">
        <v>12</v>
      </c>
      <c r="D401">
        <v>71924</v>
      </c>
      <c r="E401">
        <v>614</v>
      </c>
      <c r="F401">
        <v>44161336</v>
      </c>
      <c r="G401">
        <v>584</v>
      </c>
      <c r="H401">
        <v>2157720</v>
      </c>
      <c r="I401" t="s">
        <v>13</v>
      </c>
      <c r="J401">
        <v>227723</v>
      </c>
      <c r="K401">
        <v>155799</v>
      </c>
    </row>
    <row r="402" spans="1:11" x14ac:dyDescent="0.25">
      <c r="A402" s="1">
        <v>45610</v>
      </c>
      <c r="B402" t="s">
        <v>16</v>
      </c>
      <c r="C402" t="s">
        <v>14</v>
      </c>
      <c r="D402">
        <v>29108</v>
      </c>
      <c r="E402">
        <v>896</v>
      </c>
      <c r="F402">
        <v>26080768</v>
      </c>
      <c r="G402">
        <v>838</v>
      </c>
      <c r="H402">
        <v>1688264</v>
      </c>
      <c r="I402" t="s">
        <v>17</v>
      </c>
      <c r="J402">
        <v>414432</v>
      </c>
      <c r="K402">
        <v>385324</v>
      </c>
    </row>
    <row r="403" spans="1:11" x14ac:dyDescent="0.25">
      <c r="A403" s="1">
        <v>45610</v>
      </c>
      <c r="B403" t="s">
        <v>16</v>
      </c>
      <c r="C403" t="s">
        <v>15</v>
      </c>
      <c r="D403">
        <v>28927</v>
      </c>
      <c r="E403">
        <v>534</v>
      </c>
      <c r="F403">
        <v>15447018</v>
      </c>
      <c r="G403">
        <v>461</v>
      </c>
      <c r="H403">
        <v>2111671</v>
      </c>
      <c r="I403" t="s">
        <v>13</v>
      </c>
      <c r="J403">
        <v>279973</v>
      </c>
      <c r="K403">
        <v>251046</v>
      </c>
    </row>
    <row r="404" spans="1:11" x14ac:dyDescent="0.25">
      <c r="A404" s="1">
        <v>45610</v>
      </c>
      <c r="B404" t="s">
        <v>18</v>
      </c>
      <c r="C404" t="s">
        <v>12</v>
      </c>
      <c r="D404">
        <v>80233</v>
      </c>
      <c r="E404">
        <v>665</v>
      </c>
      <c r="F404">
        <v>53354945</v>
      </c>
      <c r="G404">
        <v>590</v>
      </c>
      <c r="H404">
        <v>6017475</v>
      </c>
      <c r="I404" t="s">
        <v>17</v>
      </c>
      <c r="J404">
        <v>307522</v>
      </c>
      <c r="K404">
        <v>227289</v>
      </c>
    </row>
    <row r="405" spans="1:11" x14ac:dyDescent="0.25">
      <c r="A405" s="1">
        <v>45610</v>
      </c>
      <c r="B405" t="s">
        <v>18</v>
      </c>
      <c r="C405" t="s">
        <v>14</v>
      </c>
      <c r="D405">
        <v>26471</v>
      </c>
      <c r="E405">
        <v>797</v>
      </c>
      <c r="F405">
        <v>21097387</v>
      </c>
      <c r="G405">
        <v>766</v>
      </c>
      <c r="H405">
        <v>820601</v>
      </c>
      <c r="I405" t="s">
        <v>13</v>
      </c>
      <c r="J405">
        <v>440069</v>
      </c>
      <c r="K405">
        <v>413598</v>
      </c>
    </row>
    <row r="406" spans="1:11" x14ac:dyDescent="0.25">
      <c r="A406" s="1">
        <v>45610</v>
      </c>
      <c r="B406" t="s">
        <v>18</v>
      </c>
      <c r="C406" t="s">
        <v>15</v>
      </c>
      <c r="D406">
        <v>51348</v>
      </c>
      <c r="E406">
        <v>592</v>
      </c>
      <c r="F406">
        <v>30398016</v>
      </c>
      <c r="G406">
        <v>537</v>
      </c>
      <c r="H406">
        <v>2824140</v>
      </c>
      <c r="I406" t="s">
        <v>13</v>
      </c>
      <c r="J406">
        <v>335832</v>
      </c>
      <c r="K406">
        <v>284484</v>
      </c>
    </row>
    <row r="407" spans="1:11" x14ac:dyDescent="0.25">
      <c r="A407" s="1">
        <v>45611</v>
      </c>
      <c r="B407" t="s">
        <v>11</v>
      </c>
      <c r="C407" t="s">
        <v>12</v>
      </c>
      <c r="D407">
        <v>41636</v>
      </c>
      <c r="E407">
        <v>697</v>
      </c>
      <c r="F407">
        <v>29020292</v>
      </c>
      <c r="G407">
        <v>620</v>
      </c>
      <c r="H407">
        <v>3205972</v>
      </c>
      <c r="I407" t="s">
        <v>13</v>
      </c>
      <c r="J407">
        <v>342635</v>
      </c>
      <c r="K407">
        <v>300999</v>
      </c>
    </row>
    <row r="408" spans="1:11" x14ac:dyDescent="0.25">
      <c r="A408" s="1">
        <v>45611</v>
      </c>
      <c r="B408" t="s">
        <v>11</v>
      </c>
      <c r="C408" t="s">
        <v>14</v>
      </c>
      <c r="D408">
        <v>46966</v>
      </c>
      <c r="E408">
        <v>819</v>
      </c>
      <c r="F408">
        <v>38465154</v>
      </c>
      <c r="G408">
        <v>744</v>
      </c>
      <c r="H408">
        <v>3522450</v>
      </c>
      <c r="I408" t="s">
        <v>17</v>
      </c>
      <c r="J408">
        <v>358059</v>
      </c>
      <c r="K408">
        <v>311093</v>
      </c>
    </row>
    <row r="409" spans="1:11" x14ac:dyDescent="0.25">
      <c r="A409" s="1">
        <v>45611</v>
      </c>
      <c r="B409" t="s">
        <v>11</v>
      </c>
      <c r="C409" t="s">
        <v>15</v>
      </c>
      <c r="D409">
        <v>78348</v>
      </c>
      <c r="E409">
        <v>520</v>
      </c>
      <c r="F409">
        <v>40740960</v>
      </c>
      <c r="G409">
        <v>468</v>
      </c>
      <c r="H409">
        <v>4074096</v>
      </c>
      <c r="I409" t="s">
        <v>17</v>
      </c>
      <c r="J409">
        <v>259182</v>
      </c>
      <c r="K409">
        <v>180834</v>
      </c>
    </row>
    <row r="410" spans="1:11" x14ac:dyDescent="0.25">
      <c r="A410" s="1">
        <v>45611</v>
      </c>
      <c r="B410" t="s">
        <v>16</v>
      </c>
      <c r="C410" t="s">
        <v>12</v>
      </c>
      <c r="D410">
        <v>59310</v>
      </c>
      <c r="E410">
        <v>624</v>
      </c>
      <c r="F410">
        <v>37009440</v>
      </c>
      <c r="G410">
        <v>559</v>
      </c>
      <c r="H410">
        <v>3855150</v>
      </c>
      <c r="I410" t="s">
        <v>17</v>
      </c>
      <c r="J410">
        <v>339978</v>
      </c>
      <c r="K410">
        <v>280668</v>
      </c>
    </row>
    <row r="411" spans="1:11" x14ac:dyDescent="0.25">
      <c r="A411" s="1">
        <v>45611</v>
      </c>
      <c r="B411" t="s">
        <v>16</v>
      </c>
      <c r="C411" t="s">
        <v>14</v>
      </c>
      <c r="D411">
        <v>65379</v>
      </c>
      <c r="E411">
        <v>770</v>
      </c>
      <c r="F411">
        <v>50341830</v>
      </c>
      <c r="G411">
        <v>728</v>
      </c>
      <c r="H411">
        <v>2745918</v>
      </c>
      <c r="I411" t="s">
        <v>17</v>
      </c>
      <c r="J411">
        <v>458517</v>
      </c>
      <c r="K411">
        <v>393138</v>
      </c>
    </row>
    <row r="412" spans="1:11" x14ac:dyDescent="0.25">
      <c r="A412" s="1">
        <v>45611</v>
      </c>
      <c r="B412" t="s">
        <v>16</v>
      </c>
      <c r="C412" t="s">
        <v>15</v>
      </c>
      <c r="D412">
        <v>66881</v>
      </c>
      <c r="E412">
        <v>577</v>
      </c>
      <c r="F412">
        <v>38590337</v>
      </c>
      <c r="G412">
        <v>544</v>
      </c>
      <c r="H412">
        <v>2207073</v>
      </c>
      <c r="I412" t="s">
        <v>17</v>
      </c>
      <c r="J412">
        <v>469295</v>
      </c>
      <c r="K412">
        <v>402414</v>
      </c>
    </row>
    <row r="413" spans="1:11" x14ac:dyDescent="0.25">
      <c r="A413" s="1">
        <v>45611</v>
      </c>
      <c r="B413" t="s">
        <v>18</v>
      </c>
      <c r="C413" t="s">
        <v>12</v>
      </c>
      <c r="D413">
        <v>56378</v>
      </c>
      <c r="E413">
        <v>628</v>
      </c>
      <c r="F413">
        <v>35405384</v>
      </c>
      <c r="G413">
        <v>552</v>
      </c>
      <c r="H413">
        <v>4284728</v>
      </c>
      <c r="I413" t="s">
        <v>17</v>
      </c>
      <c r="J413">
        <v>344539</v>
      </c>
      <c r="K413">
        <v>288161</v>
      </c>
    </row>
    <row r="414" spans="1:11" x14ac:dyDescent="0.25">
      <c r="A414" s="1">
        <v>45611</v>
      </c>
      <c r="B414" t="s">
        <v>18</v>
      </c>
      <c r="C414" t="s">
        <v>14</v>
      </c>
      <c r="D414">
        <v>74691</v>
      </c>
      <c r="E414">
        <v>895</v>
      </c>
      <c r="F414">
        <v>66848445</v>
      </c>
      <c r="G414">
        <v>864</v>
      </c>
      <c r="H414">
        <v>2315421</v>
      </c>
      <c r="I414" t="s">
        <v>17</v>
      </c>
      <c r="J414">
        <v>376048</v>
      </c>
      <c r="K414">
        <v>301357</v>
      </c>
    </row>
    <row r="415" spans="1:11" x14ac:dyDescent="0.25">
      <c r="A415" s="1">
        <v>45611</v>
      </c>
      <c r="B415" t="s">
        <v>18</v>
      </c>
      <c r="C415" t="s">
        <v>15</v>
      </c>
      <c r="D415">
        <v>43171</v>
      </c>
      <c r="E415">
        <v>589</v>
      </c>
      <c r="F415">
        <v>25427719</v>
      </c>
      <c r="G415">
        <v>535</v>
      </c>
      <c r="H415">
        <v>2331234</v>
      </c>
      <c r="I415" t="s">
        <v>17</v>
      </c>
      <c r="J415">
        <v>286365</v>
      </c>
      <c r="K415">
        <v>243194</v>
      </c>
    </row>
    <row r="416" spans="1:11" x14ac:dyDescent="0.25">
      <c r="A416" s="1">
        <v>45612</v>
      </c>
      <c r="B416" t="s">
        <v>11</v>
      </c>
      <c r="C416" t="s">
        <v>12</v>
      </c>
      <c r="D416">
        <v>64139</v>
      </c>
      <c r="E416">
        <v>673</v>
      </c>
      <c r="F416">
        <v>43165547</v>
      </c>
      <c r="G416">
        <v>605</v>
      </c>
      <c r="H416">
        <v>4361452</v>
      </c>
      <c r="I416" t="s">
        <v>17</v>
      </c>
      <c r="J416">
        <v>272588</v>
      </c>
      <c r="K416">
        <v>208449</v>
      </c>
    </row>
    <row r="417" spans="1:11" x14ac:dyDescent="0.25">
      <c r="A417" s="1">
        <v>45612</v>
      </c>
      <c r="B417" t="s">
        <v>11</v>
      </c>
      <c r="C417" t="s">
        <v>14</v>
      </c>
      <c r="D417">
        <v>23654</v>
      </c>
      <c r="E417">
        <v>805</v>
      </c>
      <c r="F417">
        <v>19041470</v>
      </c>
      <c r="G417">
        <v>727</v>
      </c>
      <c r="H417">
        <v>1845012</v>
      </c>
      <c r="I417" t="s">
        <v>17</v>
      </c>
      <c r="J417">
        <v>421097</v>
      </c>
      <c r="K417">
        <v>397443</v>
      </c>
    </row>
    <row r="418" spans="1:11" x14ac:dyDescent="0.25">
      <c r="A418" s="1">
        <v>45612</v>
      </c>
      <c r="B418" t="s">
        <v>11</v>
      </c>
      <c r="C418" t="s">
        <v>15</v>
      </c>
      <c r="D418">
        <v>26441</v>
      </c>
      <c r="E418">
        <v>555</v>
      </c>
      <c r="F418">
        <v>14674755</v>
      </c>
      <c r="G418">
        <v>490</v>
      </c>
      <c r="H418">
        <v>1718665</v>
      </c>
      <c r="I418" t="s">
        <v>13</v>
      </c>
      <c r="J418">
        <v>307971</v>
      </c>
      <c r="K418">
        <v>281530</v>
      </c>
    </row>
    <row r="419" spans="1:11" x14ac:dyDescent="0.25">
      <c r="A419" s="1">
        <v>45612</v>
      </c>
      <c r="B419" t="s">
        <v>16</v>
      </c>
      <c r="C419" t="s">
        <v>12</v>
      </c>
      <c r="D419">
        <v>79189</v>
      </c>
      <c r="E419">
        <v>600</v>
      </c>
      <c r="F419">
        <v>47513400</v>
      </c>
      <c r="G419">
        <v>527</v>
      </c>
      <c r="H419">
        <v>5780797</v>
      </c>
      <c r="I419" t="s">
        <v>13</v>
      </c>
      <c r="J419">
        <v>242668</v>
      </c>
      <c r="K419">
        <v>163479</v>
      </c>
    </row>
    <row r="420" spans="1:11" x14ac:dyDescent="0.25">
      <c r="A420" s="1">
        <v>45612</v>
      </c>
      <c r="B420" t="s">
        <v>16</v>
      </c>
      <c r="C420" t="s">
        <v>14</v>
      </c>
      <c r="D420">
        <v>85429</v>
      </c>
      <c r="E420">
        <v>867</v>
      </c>
      <c r="F420">
        <v>74066943</v>
      </c>
      <c r="G420">
        <v>817</v>
      </c>
      <c r="H420">
        <v>4271450</v>
      </c>
      <c r="I420" t="s">
        <v>13</v>
      </c>
      <c r="J420">
        <v>419861</v>
      </c>
      <c r="K420">
        <v>334432</v>
      </c>
    </row>
    <row r="421" spans="1:11" x14ac:dyDescent="0.25">
      <c r="A421" s="1">
        <v>45612</v>
      </c>
      <c r="B421" t="s">
        <v>16</v>
      </c>
      <c r="C421" t="s">
        <v>15</v>
      </c>
      <c r="D421">
        <v>72249</v>
      </c>
      <c r="E421">
        <v>508</v>
      </c>
      <c r="F421">
        <v>36702492</v>
      </c>
      <c r="G421">
        <v>464</v>
      </c>
      <c r="H421">
        <v>3178956</v>
      </c>
      <c r="I421" t="s">
        <v>13</v>
      </c>
      <c r="J421">
        <v>281929</v>
      </c>
      <c r="K421">
        <v>209680</v>
      </c>
    </row>
    <row r="422" spans="1:11" x14ac:dyDescent="0.25">
      <c r="A422" s="1">
        <v>45612</v>
      </c>
      <c r="B422" t="s">
        <v>18</v>
      </c>
      <c r="C422" t="s">
        <v>12</v>
      </c>
      <c r="D422">
        <v>51401</v>
      </c>
      <c r="E422">
        <v>671</v>
      </c>
      <c r="F422">
        <v>34490071</v>
      </c>
      <c r="G422">
        <v>618</v>
      </c>
      <c r="H422">
        <v>2724253</v>
      </c>
      <c r="I422" t="s">
        <v>17</v>
      </c>
      <c r="J422">
        <v>319503</v>
      </c>
      <c r="K422">
        <v>268102</v>
      </c>
    </row>
    <row r="423" spans="1:11" x14ac:dyDescent="0.25">
      <c r="A423" s="1">
        <v>45612</v>
      </c>
      <c r="B423" t="s">
        <v>18</v>
      </c>
      <c r="C423" t="s">
        <v>14</v>
      </c>
      <c r="D423">
        <v>54084</v>
      </c>
      <c r="E423">
        <v>817</v>
      </c>
      <c r="F423">
        <v>44186628</v>
      </c>
      <c r="G423">
        <v>738</v>
      </c>
      <c r="H423">
        <v>4272636</v>
      </c>
      <c r="I423" t="s">
        <v>17</v>
      </c>
      <c r="J423">
        <v>305111</v>
      </c>
      <c r="K423">
        <v>251027</v>
      </c>
    </row>
    <row r="424" spans="1:11" x14ac:dyDescent="0.25">
      <c r="A424" s="1">
        <v>45612</v>
      </c>
      <c r="B424" t="s">
        <v>18</v>
      </c>
      <c r="C424" t="s">
        <v>15</v>
      </c>
      <c r="D424">
        <v>56451</v>
      </c>
      <c r="E424">
        <v>559</v>
      </c>
      <c r="F424">
        <v>31556109</v>
      </c>
      <c r="G424">
        <v>491</v>
      </c>
      <c r="H424">
        <v>3838668</v>
      </c>
      <c r="I424" t="s">
        <v>17</v>
      </c>
      <c r="J424">
        <v>498185</v>
      </c>
      <c r="K424">
        <v>441734</v>
      </c>
    </row>
    <row r="425" spans="1:11" x14ac:dyDescent="0.25">
      <c r="A425" s="1">
        <v>45613</v>
      </c>
      <c r="B425" t="s">
        <v>11</v>
      </c>
      <c r="C425" t="s">
        <v>12</v>
      </c>
      <c r="D425">
        <v>85681</v>
      </c>
      <c r="E425">
        <v>618</v>
      </c>
      <c r="F425">
        <v>52950858</v>
      </c>
      <c r="G425">
        <v>553</v>
      </c>
      <c r="H425">
        <v>5569265</v>
      </c>
      <c r="I425" t="s">
        <v>17</v>
      </c>
      <c r="J425">
        <v>396553</v>
      </c>
      <c r="K425">
        <v>310872</v>
      </c>
    </row>
    <row r="426" spans="1:11" x14ac:dyDescent="0.25">
      <c r="A426" s="1">
        <v>45613</v>
      </c>
      <c r="B426" t="s">
        <v>11</v>
      </c>
      <c r="C426" t="s">
        <v>14</v>
      </c>
      <c r="D426">
        <v>84174</v>
      </c>
      <c r="E426">
        <v>798</v>
      </c>
      <c r="F426">
        <v>67170852</v>
      </c>
      <c r="G426">
        <v>734</v>
      </c>
      <c r="H426">
        <v>5387136</v>
      </c>
      <c r="I426" t="s">
        <v>17</v>
      </c>
      <c r="J426">
        <v>217633</v>
      </c>
      <c r="K426">
        <v>133459</v>
      </c>
    </row>
    <row r="427" spans="1:11" x14ac:dyDescent="0.25">
      <c r="A427" s="1">
        <v>45613</v>
      </c>
      <c r="B427" t="s">
        <v>11</v>
      </c>
      <c r="C427" t="s">
        <v>15</v>
      </c>
      <c r="D427">
        <v>37014</v>
      </c>
      <c r="E427">
        <v>520</v>
      </c>
      <c r="F427">
        <v>19247280</v>
      </c>
      <c r="G427">
        <v>474</v>
      </c>
      <c r="H427">
        <v>1702644</v>
      </c>
      <c r="I427" t="s">
        <v>17</v>
      </c>
      <c r="J427">
        <v>268388</v>
      </c>
      <c r="K427">
        <v>231374</v>
      </c>
    </row>
    <row r="428" spans="1:11" x14ac:dyDescent="0.25">
      <c r="A428" s="1">
        <v>45613</v>
      </c>
      <c r="B428" t="s">
        <v>16</v>
      </c>
      <c r="C428" t="s">
        <v>12</v>
      </c>
      <c r="D428">
        <v>53755</v>
      </c>
      <c r="E428">
        <v>670</v>
      </c>
      <c r="F428">
        <v>36015850</v>
      </c>
      <c r="G428">
        <v>609</v>
      </c>
      <c r="H428">
        <v>3279055</v>
      </c>
      <c r="I428" t="s">
        <v>13</v>
      </c>
      <c r="J428">
        <v>291658</v>
      </c>
      <c r="K428">
        <v>237903</v>
      </c>
    </row>
    <row r="429" spans="1:11" x14ac:dyDescent="0.25">
      <c r="A429" s="1">
        <v>45613</v>
      </c>
      <c r="B429" t="s">
        <v>16</v>
      </c>
      <c r="C429" t="s">
        <v>14</v>
      </c>
      <c r="D429">
        <v>47213</v>
      </c>
      <c r="E429">
        <v>826</v>
      </c>
      <c r="F429">
        <v>38997938</v>
      </c>
      <c r="G429">
        <v>772</v>
      </c>
      <c r="H429">
        <v>2549502</v>
      </c>
      <c r="I429" t="s">
        <v>17</v>
      </c>
      <c r="J429">
        <v>217727</v>
      </c>
      <c r="K429">
        <v>170514</v>
      </c>
    </row>
    <row r="430" spans="1:11" x14ac:dyDescent="0.25">
      <c r="A430" s="1">
        <v>45613</v>
      </c>
      <c r="B430" t="s">
        <v>16</v>
      </c>
      <c r="C430" t="s">
        <v>15</v>
      </c>
      <c r="D430">
        <v>24358</v>
      </c>
      <c r="E430">
        <v>584</v>
      </c>
      <c r="F430">
        <v>14225072</v>
      </c>
      <c r="G430">
        <v>537</v>
      </c>
      <c r="H430">
        <v>1144826</v>
      </c>
      <c r="I430" t="s">
        <v>13</v>
      </c>
      <c r="J430">
        <v>294018</v>
      </c>
      <c r="K430">
        <v>269660</v>
      </c>
    </row>
    <row r="431" spans="1:11" x14ac:dyDescent="0.25">
      <c r="A431" s="1">
        <v>45613</v>
      </c>
      <c r="B431" t="s">
        <v>18</v>
      </c>
      <c r="C431" t="s">
        <v>12</v>
      </c>
      <c r="D431">
        <v>52117</v>
      </c>
      <c r="E431">
        <v>638</v>
      </c>
      <c r="F431">
        <v>33250646</v>
      </c>
      <c r="G431">
        <v>568</v>
      </c>
      <c r="H431">
        <v>3648190</v>
      </c>
      <c r="I431" t="s">
        <v>17</v>
      </c>
      <c r="J431">
        <v>429104</v>
      </c>
      <c r="K431">
        <v>376987</v>
      </c>
    </row>
    <row r="432" spans="1:11" x14ac:dyDescent="0.25">
      <c r="A432" s="1">
        <v>45613</v>
      </c>
      <c r="B432" t="s">
        <v>18</v>
      </c>
      <c r="C432" t="s">
        <v>14</v>
      </c>
      <c r="D432">
        <v>82438</v>
      </c>
      <c r="E432">
        <v>773</v>
      </c>
      <c r="F432">
        <v>63724574</v>
      </c>
      <c r="G432">
        <v>698</v>
      </c>
      <c r="H432">
        <v>6182850</v>
      </c>
      <c r="I432" t="s">
        <v>13</v>
      </c>
      <c r="J432">
        <v>496037</v>
      </c>
      <c r="K432">
        <v>413599</v>
      </c>
    </row>
    <row r="433" spans="1:11" x14ac:dyDescent="0.25">
      <c r="A433" s="1">
        <v>45613</v>
      </c>
      <c r="B433" t="s">
        <v>18</v>
      </c>
      <c r="C433" t="s">
        <v>15</v>
      </c>
      <c r="D433">
        <v>51007</v>
      </c>
      <c r="E433">
        <v>538</v>
      </c>
      <c r="F433">
        <v>27441766</v>
      </c>
      <c r="G433">
        <v>464</v>
      </c>
      <c r="H433">
        <v>3774518</v>
      </c>
      <c r="I433" t="s">
        <v>13</v>
      </c>
      <c r="J433">
        <v>212323</v>
      </c>
      <c r="K433">
        <v>161316</v>
      </c>
    </row>
    <row r="434" spans="1:11" x14ac:dyDescent="0.25">
      <c r="A434" s="1">
        <v>45614</v>
      </c>
      <c r="B434" t="s">
        <v>11</v>
      </c>
      <c r="C434" t="s">
        <v>12</v>
      </c>
      <c r="D434">
        <v>34210</v>
      </c>
      <c r="E434">
        <v>672</v>
      </c>
      <c r="F434">
        <v>22989120</v>
      </c>
      <c r="G434">
        <v>635</v>
      </c>
      <c r="H434">
        <v>1265770</v>
      </c>
      <c r="I434" t="s">
        <v>17</v>
      </c>
      <c r="J434">
        <v>254624</v>
      </c>
      <c r="K434">
        <v>220414</v>
      </c>
    </row>
    <row r="435" spans="1:11" x14ac:dyDescent="0.25">
      <c r="A435" s="1">
        <v>45614</v>
      </c>
      <c r="B435" t="s">
        <v>11</v>
      </c>
      <c r="C435" t="s">
        <v>14</v>
      </c>
      <c r="D435">
        <v>88008</v>
      </c>
      <c r="E435">
        <v>762</v>
      </c>
      <c r="F435">
        <v>67062096</v>
      </c>
      <c r="G435">
        <v>684</v>
      </c>
      <c r="H435">
        <v>6864624</v>
      </c>
      <c r="I435" t="s">
        <v>17</v>
      </c>
      <c r="J435">
        <v>401659</v>
      </c>
      <c r="K435">
        <v>313651</v>
      </c>
    </row>
    <row r="436" spans="1:11" x14ac:dyDescent="0.25">
      <c r="A436" s="1">
        <v>45614</v>
      </c>
      <c r="B436" t="s">
        <v>11</v>
      </c>
      <c r="C436" t="s">
        <v>15</v>
      </c>
      <c r="D436">
        <v>88011</v>
      </c>
      <c r="E436">
        <v>526</v>
      </c>
      <c r="F436">
        <v>46293786</v>
      </c>
      <c r="G436">
        <v>465</v>
      </c>
      <c r="H436">
        <v>5368671</v>
      </c>
      <c r="I436" t="s">
        <v>13</v>
      </c>
      <c r="J436">
        <v>325703</v>
      </c>
      <c r="K436">
        <v>237692</v>
      </c>
    </row>
    <row r="437" spans="1:11" x14ac:dyDescent="0.25">
      <c r="A437" s="1">
        <v>45614</v>
      </c>
      <c r="B437" t="s">
        <v>16</v>
      </c>
      <c r="C437" t="s">
        <v>12</v>
      </c>
      <c r="D437">
        <v>54503</v>
      </c>
      <c r="E437">
        <v>649</v>
      </c>
      <c r="F437">
        <v>35372447</v>
      </c>
      <c r="G437">
        <v>617</v>
      </c>
      <c r="H437">
        <v>1744096</v>
      </c>
      <c r="I437" t="s">
        <v>13</v>
      </c>
      <c r="J437">
        <v>274069</v>
      </c>
      <c r="K437">
        <v>219566</v>
      </c>
    </row>
    <row r="438" spans="1:11" x14ac:dyDescent="0.25">
      <c r="A438" s="1">
        <v>45614</v>
      </c>
      <c r="B438" t="s">
        <v>16</v>
      </c>
      <c r="C438" t="s">
        <v>14</v>
      </c>
      <c r="D438">
        <v>25249</v>
      </c>
      <c r="E438">
        <v>751</v>
      </c>
      <c r="F438">
        <v>18961999</v>
      </c>
      <c r="G438">
        <v>684</v>
      </c>
      <c r="H438">
        <v>1691683</v>
      </c>
      <c r="I438" t="s">
        <v>17</v>
      </c>
      <c r="J438">
        <v>389648</v>
      </c>
      <c r="K438">
        <v>364399</v>
      </c>
    </row>
    <row r="439" spans="1:11" x14ac:dyDescent="0.25">
      <c r="A439" s="1">
        <v>45614</v>
      </c>
      <c r="B439" t="s">
        <v>16</v>
      </c>
      <c r="C439" t="s">
        <v>15</v>
      </c>
      <c r="D439">
        <v>29686</v>
      </c>
      <c r="E439">
        <v>529</v>
      </c>
      <c r="F439">
        <v>15703894</v>
      </c>
      <c r="G439">
        <v>492</v>
      </c>
      <c r="H439">
        <v>1098382</v>
      </c>
      <c r="I439" t="s">
        <v>13</v>
      </c>
      <c r="J439">
        <v>331733</v>
      </c>
      <c r="K439">
        <v>302047</v>
      </c>
    </row>
    <row r="440" spans="1:11" x14ac:dyDescent="0.25">
      <c r="A440" s="1">
        <v>45614</v>
      </c>
      <c r="B440" t="s">
        <v>18</v>
      </c>
      <c r="C440" t="s">
        <v>12</v>
      </c>
      <c r="D440">
        <v>80963</v>
      </c>
      <c r="E440">
        <v>668</v>
      </c>
      <c r="F440">
        <v>54083284</v>
      </c>
      <c r="G440">
        <v>626</v>
      </c>
      <c r="H440">
        <v>3400446</v>
      </c>
      <c r="I440" t="s">
        <v>17</v>
      </c>
      <c r="J440">
        <v>472670</v>
      </c>
      <c r="K440">
        <v>391707</v>
      </c>
    </row>
    <row r="441" spans="1:11" x14ac:dyDescent="0.25">
      <c r="A441" s="1">
        <v>45614</v>
      </c>
      <c r="B441" t="s">
        <v>18</v>
      </c>
      <c r="C441" t="s">
        <v>14</v>
      </c>
      <c r="D441">
        <v>45592</v>
      </c>
      <c r="E441">
        <v>804</v>
      </c>
      <c r="F441">
        <v>36655968</v>
      </c>
      <c r="G441">
        <v>759</v>
      </c>
      <c r="H441">
        <v>2051640</v>
      </c>
      <c r="I441" t="s">
        <v>13</v>
      </c>
      <c r="J441">
        <v>432041</v>
      </c>
      <c r="K441">
        <v>386449</v>
      </c>
    </row>
    <row r="442" spans="1:11" x14ac:dyDescent="0.25">
      <c r="A442" s="1">
        <v>45614</v>
      </c>
      <c r="B442" t="s">
        <v>18</v>
      </c>
      <c r="C442" t="s">
        <v>15</v>
      </c>
      <c r="D442">
        <v>88619</v>
      </c>
      <c r="E442">
        <v>516</v>
      </c>
      <c r="F442">
        <v>45727404</v>
      </c>
      <c r="G442">
        <v>471</v>
      </c>
      <c r="H442">
        <v>3987855</v>
      </c>
      <c r="I442" t="s">
        <v>13</v>
      </c>
      <c r="J442">
        <v>351175</v>
      </c>
      <c r="K442">
        <v>262556</v>
      </c>
    </row>
    <row r="443" spans="1:11" x14ac:dyDescent="0.25">
      <c r="A443" s="1">
        <v>45615</v>
      </c>
      <c r="B443" t="s">
        <v>11</v>
      </c>
      <c r="C443" t="s">
        <v>12</v>
      </c>
      <c r="D443">
        <v>30754</v>
      </c>
      <c r="E443">
        <v>615</v>
      </c>
      <c r="F443">
        <v>18913710</v>
      </c>
      <c r="G443">
        <v>556</v>
      </c>
      <c r="H443">
        <v>1814486</v>
      </c>
      <c r="I443" t="s">
        <v>17</v>
      </c>
      <c r="J443">
        <v>298540</v>
      </c>
      <c r="K443">
        <v>267786</v>
      </c>
    </row>
    <row r="444" spans="1:11" x14ac:dyDescent="0.25">
      <c r="A444" s="1">
        <v>45615</v>
      </c>
      <c r="B444" t="s">
        <v>11</v>
      </c>
      <c r="C444" t="s">
        <v>14</v>
      </c>
      <c r="D444">
        <v>75922</v>
      </c>
      <c r="E444">
        <v>853</v>
      </c>
      <c r="F444">
        <v>64761466</v>
      </c>
      <c r="G444">
        <v>819</v>
      </c>
      <c r="H444">
        <v>2581348</v>
      </c>
      <c r="I444" t="s">
        <v>13</v>
      </c>
      <c r="J444">
        <v>393783</v>
      </c>
      <c r="K444">
        <v>317861</v>
      </c>
    </row>
    <row r="445" spans="1:11" x14ac:dyDescent="0.25">
      <c r="A445" s="1">
        <v>45615</v>
      </c>
      <c r="B445" t="s">
        <v>11</v>
      </c>
      <c r="C445" t="s">
        <v>15</v>
      </c>
      <c r="D445">
        <v>38752</v>
      </c>
      <c r="E445">
        <v>529</v>
      </c>
      <c r="F445">
        <v>20499808</v>
      </c>
      <c r="G445">
        <v>479</v>
      </c>
      <c r="H445">
        <v>1937600</v>
      </c>
      <c r="I445" t="s">
        <v>13</v>
      </c>
      <c r="J445">
        <v>344467</v>
      </c>
      <c r="K445">
        <v>305715</v>
      </c>
    </row>
    <row r="446" spans="1:11" x14ac:dyDescent="0.25">
      <c r="A446" s="1">
        <v>45615</v>
      </c>
      <c r="B446" t="s">
        <v>16</v>
      </c>
      <c r="C446" t="s">
        <v>12</v>
      </c>
      <c r="D446">
        <v>76273</v>
      </c>
      <c r="E446">
        <v>671</v>
      </c>
      <c r="F446">
        <v>51179183</v>
      </c>
      <c r="G446">
        <v>603</v>
      </c>
      <c r="H446">
        <v>5186564</v>
      </c>
      <c r="I446" t="s">
        <v>17</v>
      </c>
      <c r="J446">
        <v>467039</v>
      </c>
      <c r="K446">
        <v>390766</v>
      </c>
    </row>
    <row r="447" spans="1:11" x14ac:dyDescent="0.25">
      <c r="A447" s="1">
        <v>45615</v>
      </c>
      <c r="B447" t="s">
        <v>16</v>
      </c>
      <c r="C447" t="s">
        <v>14</v>
      </c>
      <c r="D447">
        <v>30699</v>
      </c>
      <c r="E447">
        <v>787</v>
      </c>
      <c r="F447">
        <v>24160113</v>
      </c>
      <c r="G447">
        <v>724</v>
      </c>
      <c r="H447">
        <v>1934037</v>
      </c>
      <c r="I447" t="s">
        <v>13</v>
      </c>
      <c r="J447">
        <v>318413</v>
      </c>
      <c r="K447">
        <v>287714</v>
      </c>
    </row>
    <row r="448" spans="1:11" x14ac:dyDescent="0.25">
      <c r="A448" s="1">
        <v>45615</v>
      </c>
      <c r="B448" t="s">
        <v>16</v>
      </c>
      <c r="C448" t="s">
        <v>15</v>
      </c>
      <c r="D448">
        <v>25782</v>
      </c>
      <c r="E448">
        <v>565</v>
      </c>
      <c r="F448">
        <v>14566830</v>
      </c>
      <c r="G448">
        <v>495</v>
      </c>
      <c r="H448">
        <v>1804740</v>
      </c>
      <c r="I448" t="s">
        <v>17</v>
      </c>
      <c r="J448">
        <v>235585</v>
      </c>
      <c r="K448">
        <v>209803</v>
      </c>
    </row>
    <row r="449" spans="1:11" x14ac:dyDescent="0.25">
      <c r="A449" s="1">
        <v>45615</v>
      </c>
      <c r="B449" t="s">
        <v>18</v>
      </c>
      <c r="C449" t="s">
        <v>12</v>
      </c>
      <c r="D449">
        <v>67864</v>
      </c>
      <c r="E449">
        <v>672</v>
      </c>
      <c r="F449">
        <v>45604608</v>
      </c>
      <c r="G449">
        <v>642</v>
      </c>
      <c r="H449">
        <v>2035920</v>
      </c>
      <c r="I449" t="s">
        <v>13</v>
      </c>
      <c r="J449">
        <v>238067</v>
      </c>
      <c r="K449">
        <v>170203</v>
      </c>
    </row>
    <row r="450" spans="1:11" x14ac:dyDescent="0.25">
      <c r="A450" s="1">
        <v>45615</v>
      </c>
      <c r="B450" t="s">
        <v>18</v>
      </c>
      <c r="C450" t="s">
        <v>14</v>
      </c>
      <c r="D450">
        <v>38073</v>
      </c>
      <c r="E450">
        <v>804</v>
      </c>
      <c r="F450">
        <v>30610692</v>
      </c>
      <c r="G450">
        <v>769</v>
      </c>
      <c r="H450">
        <v>1332555</v>
      </c>
      <c r="I450" t="s">
        <v>17</v>
      </c>
      <c r="J450">
        <v>290517</v>
      </c>
      <c r="K450">
        <v>252444</v>
      </c>
    </row>
    <row r="451" spans="1:11" x14ac:dyDescent="0.25">
      <c r="A451" s="1">
        <v>45615</v>
      </c>
      <c r="B451" t="s">
        <v>18</v>
      </c>
      <c r="C451" t="s">
        <v>15</v>
      </c>
      <c r="D451">
        <v>30382</v>
      </c>
      <c r="E451">
        <v>585</v>
      </c>
      <c r="F451">
        <v>17773470</v>
      </c>
      <c r="G451">
        <v>519</v>
      </c>
      <c r="H451">
        <v>2005212</v>
      </c>
      <c r="I451" t="s">
        <v>13</v>
      </c>
      <c r="J451">
        <v>421427</v>
      </c>
      <c r="K451">
        <v>391045</v>
      </c>
    </row>
    <row r="452" spans="1:11" x14ac:dyDescent="0.25">
      <c r="A452" s="1">
        <v>45616</v>
      </c>
      <c r="B452" t="s">
        <v>11</v>
      </c>
      <c r="C452" t="s">
        <v>12</v>
      </c>
      <c r="D452">
        <v>32329</v>
      </c>
      <c r="E452">
        <v>637</v>
      </c>
      <c r="F452">
        <v>20593573</v>
      </c>
      <c r="G452">
        <v>590</v>
      </c>
      <c r="H452">
        <v>1519463</v>
      </c>
      <c r="I452" t="s">
        <v>17</v>
      </c>
      <c r="J452">
        <v>287468</v>
      </c>
      <c r="K452">
        <v>255139</v>
      </c>
    </row>
    <row r="453" spans="1:11" x14ac:dyDescent="0.25">
      <c r="A453" s="1">
        <v>45616</v>
      </c>
      <c r="B453" t="s">
        <v>11</v>
      </c>
      <c r="C453" t="s">
        <v>14</v>
      </c>
      <c r="D453">
        <v>80631</v>
      </c>
      <c r="E453">
        <v>883</v>
      </c>
      <c r="F453">
        <v>71197173</v>
      </c>
      <c r="G453">
        <v>851</v>
      </c>
      <c r="H453">
        <v>2580192</v>
      </c>
      <c r="I453" t="s">
        <v>13</v>
      </c>
      <c r="J453">
        <v>493894</v>
      </c>
      <c r="K453">
        <v>413263</v>
      </c>
    </row>
    <row r="454" spans="1:11" x14ac:dyDescent="0.25">
      <c r="A454" s="1">
        <v>45616</v>
      </c>
      <c r="B454" t="s">
        <v>11</v>
      </c>
      <c r="C454" t="s">
        <v>15</v>
      </c>
      <c r="D454">
        <v>60461</v>
      </c>
      <c r="E454">
        <v>572</v>
      </c>
      <c r="F454">
        <v>34583692</v>
      </c>
      <c r="G454">
        <v>528</v>
      </c>
      <c r="H454">
        <v>2660284</v>
      </c>
      <c r="I454" t="s">
        <v>17</v>
      </c>
      <c r="J454">
        <v>312020</v>
      </c>
      <c r="K454">
        <v>251559</v>
      </c>
    </row>
    <row r="455" spans="1:11" x14ac:dyDescent="0.25">
      <c r="A455" s="1">
        <v>45616</v>
      </c>
      <c r="B455" t="s">
        <v>16</v>
      </c>
      <c r="C455" t="s">
        <v>12</v>
      </c>
      <c r="D455">
        <v>26721</v>
      </c>
      <c r="E455">
        <v>690</v>
      </c>
      <c r="F455">
        <v>18437490</v>
      </c>
      <c r="G455">
        <v>659</v>
      </c>
      <c r="H455">
        <v>828351</v>
      </c>
      <c r="I455" t="s">
        <v>13</v>
      </c>
      <c r="J455">
        <v>330513</v>
      </c>
      <c r="K455">
        <v>303792</v>
      </c>
    </row>
    <row r="456" spans="1:11" x14ac:dyDescent="0.25">
      <c r="A456" s="1">
        <v>45616</v>
      </c>
      <c r="B456" t="s">
        <v>16</v>
      </c>
      <c r="C456" t="s">
        <v>14</v>
      </c>
      <c r="D456">
        <v>75249</v>
      </c>
      <c r="E456">
        <v>759</v>
      </c>
      <c r="F456">
        <v>57113991</v>
      </c>
      <c r="G456">
        <v>705</v>
      </c>
      <c r="H456">
        <v>4063446</v>
      </c>
      <c r="I456" t="s">
        <v>13</v>
      </c>
      <c r="J456">
        <v>229984</v>
      </c>
      <c r="K456">
        <v>154735</v>
      </c>
    </row>
    <row r="457" spans="1:11" x14ac:dyDescent="0.25">
      <c r="A457" s="1">
        <v>45616</v>
      </c>
      <c r="B457" t="s">
        <v>16</v>
      </c>
      <c r="C457" t="s">
        <v>15</v>
      </c>
      <c r="D457">
        <v>25901</v>
      </c>
      <c r="E457">
        <v>564</v>
      </c>
      <c r="F457">
        <v>14608164</v>
      </c>
      <c r="G457">
        <v>489</v>
      </c>
      <c r="H457">
        <v>1942575</v>
      </c>
      <c r="I457" t="s">
        <v>13</v>
      </c>
      <c r="J457">
        <v>493199</v>
      </c>
      <c r="K457">
        <v>467298</v>
      </c>
    </row>
    <row r="458" spans="1:11" x14ac:dyDescent="0.25">
      <c r="A458" s="1">
        <v>45616</v>
      </c>
      <c r="B458" t="s">
        <v>18</v>
      </c>
      <c r="C458" t="s">
        <v>12</v>
      </c>
      <c r="D458">
        <v>34716</v>
      </c>
      <c r="E458">
        <v>651</v>
      </c>
      <c r="F458">
        <v>22600116</v>
      </c>
      <c r="G458">
        <v>619</v>
      </c>
      <c r="H458">
        <v>1110912</v>
      </c>
      <c r="I458" t="s">
        <v>17</v>
      </c>
      <c r="J458">
        <v>366370</v>
      </c>
      <c r="K458">
        <v>331654</v>
      </c>
    </row>
    <row r="459" spans="1:11" x14ac:dyDescent="0.25">
      <c r="A459" s="1">
        <v>45616</v>
      </c>
      <c r="B459" t="s">
        <v>18</v>
      </c>
      <c r="C459" t="s">
        <v>14</v>
      </c>
      <c r="D459">
        <v>43429</v>
      </c>
      <c r="E459">
        <v>774</v>
      </c>
      <c r="F459">
        <v>33614046</v>
      </c>
      <c r="G459">
        <v>732</v>
      </c>
      <c r="H459">
        <v>1824018</v>
      </c>
      <c r="I459" t="s">
        <v>13</v>
      </c>
      <c r="J459">
        <v>448289</v>
      </c>
      <c r="K459">
        <v>404860</v>
      </c>
    </row>
    <row r="460" spans="1:11" x14ac:dyDescent="0.25">
      <c r="A460" s="1">
        <v>45616</v>
      </c>
      <c r="B460" t="s">
        <v>18</v>
      </c>
      <c r="C460" t="s">
        <v>15</v>
      </c>
      <c r="D460">
        <v>37347</v>
      </c>
      <c r="E460">
        <v>524</v>
      </c>
      <c r="F460">
        <v>19569828</v>
      </c>
      <c r="G460">
        <v>480</v>
      </c>
      <c r="H460">
        <v>1643268</v>
      </c>
      <c r="I460" t="s">
        <v>13</v>
      </c>
      <c r="J460">
        <v>240108</v>
      </c>
      <c r="K460">
        <v>202761</v>
      </c>
    </row>
    <row r="461" spans="1:11" x14ac:dyDescent="0.25">
      <c r="A461" s="1">
        <v>45617</v>
      </c>
      <c r="B461" t="s">
        <v>11</v>
      </c>
      <c r="C461" t="s">
        <v>12</v>
      </c>
      <c r="D461">
        <v>27967</v>
      </c>
      <c r="E461">
        <v>695</v>
      </c>
      <c r="F461">
        <v>19437065</v>
      </c>
      <c r="G461">
        <v>638</v>
      </c>
      <c r="H461">
        <v>1594119</v>
      </c>
      <c r="I461" t="s">
        <v>17</v>
      </c>
      <c r="J461">
        <v>408524</v>
      </c>
      <c r="K461">
        <v>380557</v>
      </c>
    </row>
    <row r="462" spans="1:11" x14ac:dyDescent="0.25">
      <c r="A462" s="1">
        <v>45617</v>
      </c>
      <c r="B462" t="s">
        <v>11</v>
      </c>
      <c r="C462" t="s">
        <v>14</v>
      </c>
      <c r="D462">
        <v>53613</v>
      </c>
      <c r="E462">
        <v>769</v>
      </c>
      <c r="F462">
        <v>41228397</v>
      </c>
      <c r="G462">
        <v>722</v>
      </c>
      <c r="H462">
        <v>2519811</v>
      </c>
      <c r="I462" t="s">
        <v>13</v>
      </c>
      <c r="J462">
        <v>383260</v>
      </c>
      <c r="K462">
        <v>329647</v>
      </c>
    </row>
    <row r="463" spans="1:11" x14ac:dyDescent="0.25">
      <c r="A463" s="1">
        <v>45617</v>
      </c>
      <c r="B463" t="s">
        <v>11</v>
      </c>
      <c r="C463" t="s">
        <v>15</v>
      </c>
      <c r="D463">
        <v>55262</v>
      </c>
      <c r="E463">
        <v>505</v>
      </c>
      <c r="F463">
        <v>27907310</v>
      </c>
      <c r="G463">
        <v>444</v>
      </c>
      <c r="H463">
        <v>3370982</v>
      </c>
      <c r="I463" t="s">
        <v>13</v>
      </c>
      <c r="J463">
        <v>260545</v>
      </c>
      <c r="K463">
        <v>205283</v>
      </c>
    </row>
    <row r="464" spans="1:11" x14ac:dyDescent="0.25">
      <c r="A464" s="1">
        <v>45617</v>
      </c>
      <c r="B464" t="s">
        <v>16</v>
      </c>
      <c r="C464" t="s">
        <v>12</v>
      </c>
      <c r="D464">
        <v>59922</v>
      </c>
      <c r="E464">
        <v>604</v>
      </c>
      <c r="F464">
        <v>36192888</v>
      </c>
      <c r="G464">
        <v>556</v>
      </c>
      <c r="H464">
        <v>2876256</v>
      </c>
      <c r="I464" t="s">
        <v>13</v>
      </c>
      <c r="J464">
        <v>242913</v>
      </c>
      <c r="K464">
        <v>182991</v>
      </c>
    </row>
    <row r="465" spans="1:11" x14ac:dyDescent="0.25">
      <c r="A465" s="1">
        <v>45617</v>
      </c>
      <c r="B465" t="s">
        <v>16</v>
      </c>
      <c r="C465" t="s">
        <v>14</v>
      </c>
      <c r="D465">
        <v>75677</v>
      </c>
      <c r="E465">
        <v>760</v>
      </c>
      <c r="F465">
        <v>57514520</v>
      </c>
      <c r="G465">
        <v>681</v>
      </c>
      <c r="H465">
        <v>5978483</v>
      </c>
      <c r="I465" t="s">
        <v>17</v>
      </c>
      <c r="J465">
        <v>377404</v>
      </c>
      <c r="K465">
        <v>301727</v>
      </c>
    </row>
    <row r="466" spans="1:11" x14ac:dyDescent="0.25">
      <c r="A466" s="1">
        <v>45617</v>
      </c>
      <c r="B466" t="s">
        <v>16</v>
      </c>
      <c r="C466" t="s">
        <v>15</v>
      </c>
      <c r="D466">
        <v>45032</v>
      </c>
      <c r="E466">
        <v>586</v>
      </c>
      <c r="F466">
        <v>26388752</v>
      </c>
      <c r="G466">
        <v>538</v>
      </c>
      <c r="H466">
        <v>2161536</v>
      </c>
      <c r="I466" t="s">
        <v>17</v>
      </c>
      <c r="J466">
        <v>244936</v>
      </c>
      <c r="K466">
        <v>199904</v>
      </c>
    </row>
    <row r="467" spans="1:11" x14ac:dyDescent="0.25">
      <c r="A467" s="1">
        <v>45617</v>
      </c>
      <c r="B467" t="s">
        <v>18</v>
      </c>
      <c r="C467" t="s">
        <v>12</v>
      </c>
      <c r="D467">
        <v>81588</v>
      </c>
      <c r="E467">
        <v>672</v>
      </c>
      <c r="F467">
        <v>54827136</v>
      </c>
      <c r="G467">
        <v>615</v>
      </c>
      <c r="H467">
        <v>4650516</v>
      </c>
      <c r="I467" t="s">
        <v>13</v>
      </c>
      <c r="J467">
        <v>425469</v>
      </c>
      <c r="K467">
        <v>343881</v>
      </c>
    </row>
    <row r="468" spans="1:11" x14ac:dyDescent="0.25">
      <c r="A468" s="1">
        <v>45617</v>
      </c>
      <c r="B468" t="s">
        <v>18</v>
      </c>
      <c r="C468" t="s">
        <v>14</v>
      </c>
      <c r="D468">
        <v>29074</v>
      </c>
      <c r="E468">
        <v>756</v>
      </c>
      <c r="F468">
        <v>21979944</v>
      </c>
      <c r="G468">
        <v>711</v>
      </c>
      <c r="H468">
        <v>1308330</v>
      </c>
      <c r="I468" t="s">
        <v>17</v>
      </c>
      <c r="J468">
        <v>354363</v>
      </c>
      <c r="K468">
        <v>325289</v>
      </c>
    </row>
    <row r="469" spans="1:11" x14ac:dyDescent="0.25">
      <c r="A469" s="1">
        <v>45617</v>
      </c>
      <c r="B469" t="s">
        <v>18</v>
      </c>
      <c r="C469" t="s">
        <v>15</v>
      </c>
      <c r="D469">
        <v>66851</v>
      </c>
      <c r="E469">
        <v>539</v>
      </c>
      <c r="F469">
        <v>36032689</v>
      </c>
      <c r="G469">
        <v>493</v>
      </c>
      <c r="H469">
        <v>3075146</v>
      </c>
      <c r="I469" t="s">
        <v>13</v>
      </c>
      <c r="J469">
        <v>399900</v>
      </c>
      <c r="K469">
        <v>333049</v>
      </c>
    </row>
    <row r="470" spans="1:11" x14ac:dyDescent="0.25">
      <c r="A470" s="1">
        <v>45618</v>
      </c>
      <c r="B470" t="s">
        <v>11</v>
      </c>
      <c r="C470" t="s">
        <v>12</v>
      </c>
      <c r="D470">
        <v>32411</v>
      </c>
      <c r="E470">
        <v>637</v>
      </c>
      <c r="F470">
        <v>20645807</v>
      </c>
      <c r="G470">
        <v>569</v>
      </c>
      <c r="H470">
        <v>2203948</v>
      </c>
      <c r="I470" t="s">
        <v>17</v>
      </c>
      <c r="J470">
        <v>232371</v>
      </c>
      <c r="K470">
        <v>199960</v>
      </c>
    </row>
    <row r="471" spans="1:11" x14ac:dyDescent="0.25">
      <c r="A471" s="1">
        <v>45618</v>
      </c>
      <c r="B471" t="s">
        <v>11</v>
      </c>
      <c r="C471" t="s">
        <v>14</v>
      </c>
      <c r="D471">
        <v>71196</v>
      </c>
      <c r="E471">
        <v>756</v>
      </c>
      <c r="F471">
        <v>53824176</v>
      </c>
      <c r="G471">
        <v>700</v>
      </c>
      <c r="H471">
        <v>3986976</v>
      </c>
      <c r="I471" t="s">
        <v>13</v>
      </c>
      <c r="J471">
        <v>488859</v>
      </c>
      <c r="K471">
        <v>417663</v>
      </c>
    </row>
    <row r="472" spans="1:11" x14ac:dyDescent="0.25">
      <c r="A472" s="1">
        <v>45618</v>
      </c>
      <c r="B472" t="s">
        <v>11</v>
      </c>
      <c r="C472" t="s">
        <v>15</v>
      </c>
      <c r="D472">
        <v>51174</v>
      </c>
      <c r="E472">
        <v>585</v>
      </c>
      <c r="F472">
        <v>29936790</v>
      </c>
      <c r="G472">
        <v>551</v>
      </c>
      <c r="H472">
        <v>1739916</v>
      </c>
      <c r="I472" t="s">
        <v>17</v>
      </c>
      <c r="J472">
        <v>393021</v>
      </c>
      <c r="K472">
        <v>341847</v>
      </c>
    </row>
    <row r="473" spans="1:11" x14ac:dyDescent="0.25">
      <c r="A473" s="1">
        <v>45618</v>
      </c>
      <c r="B473" t="s">
        <v>16</v>
      </c>
      <c r="C473" t="s">
        <v>12</v>
      </c>
      <c r="D473">
        <v>83037</v>
      </c>
      <c r="E473">
        <v>690</v>
      </c>
      <c r="F473">
        <v>57295530</v>
      </c>
      <c r="G473">
        <v>640</v>
      </c>
      <c r="H473">
        <v>4151850</v>
      </c>
      <c r="I473" t="s">
        <v>13</v>
      </c>
      <c r="J473">
        <v>316981</v>
      </c>
      <c r="K473">
        <v>233944</v>
      </c>
    </row>
    <row r="474" spans="1:11" x14ac:dyDescent="0.25">
      <c r="A474" s="1">
        <v>45618</v>
      </c>
      <c r="B474" t="s">
        <v>16</v>
      </c>
      <c r="C474" t="s">
        <v>14</v>
      </c>
      <c r="D474">
        <v>43177</v>
      </c>
      <c r="E474">
        <v>807</v>
      </c>
      <c r="F474">
        <v>34843839</v>
      </c>
      <c r="G474">
        <v>739</v>
      </c>
      <c r="H474">
        <v>2936036</v>
      </c>
      <c r="I474" t="s">
        <v>17</v>
      </c>
      <c r="J474">
        <v>422084</v>
      </c>
      <c r="K474">
        <v>378907</v>
      </c>
    </row>
    <row r="475" spans="1:11" x14ac:dyDescent="0.25">
      <c r="A475" s="1">
        <v>45618</v>
      </c>
      <c r="B475" t="s">
        <v>16</v>
      </c>
      <c r="C475" t="s">
        <v>15</v>
      </c>
      <c r="D475">
        <v>80428</v>
      </c>
      <c r="E475">
        <v>584</v>
      </c>
      <c r="F475">
        <v>46969952</v>
      </c>
      <c r="G475">
        <v>529</v>
      </c>
      <c r="H475">
        <v>4423540</v>
      </c>
      <c r="I475" t="s">
        <v>17</v>
      </c>
      <c r="J475">
        <v>313132</v>
      </c>
      <c r="K475">
        <v>232704</v>
      </c>
    </row>
    <row r="476" spans="1:11" x14ac:dyDescent="0.25">
      <c r="A476" s="1">
        <v>45618</v>
      </c>
      <c r="B476" t="s">
        <v>18</v>
      </c>
      <c r="C476" t="s">
        <v>12</v>
      </c>
      <c r="D476">
        <v>36052</v>
      </c>
      <c r="E476">
        <v>681</v>
      </c>
      <c r="F476">
        <v>24551412</v>
      </c>
      <c r="G476">
        <v>615</v>
      </c>
      <c r="H476">
        <v>2379432</v>
      </c>
      <c r="I476" t="s">
        <v>13</v>
      </c>
      <c r="J476">
        <v>331743</v>
      </c>
      <c r="K476">
        <v>295691</v>
      </c>
    </row>
    <row r="477" spans="1:11" x14ac:dyDescent="0.25">
      <c r="A477" s="1">
        <v>45618</v>
      </c>
      <c r="B477" t="s">
        <v>18</v>
      </c>
      <c r="C477" t="s">
        <v>14</v>
      </c>
      <c r="D477">
        <v>61424</v>
      </c>
      <c r="E477">
        <v>888</v>
      </c>
      <c r="F477">
        <v>54544512</v>
      </c>
      <c r="G477">
        <v>838</v>
      </c>
      <c r="H477">
        <v>3071200</v>
      </c>
      <c r="I477" t="s">
        <v>17</v>
      </c>
      <c r="J477">
        <v>320575</v>
      </c>
      <c r="K477">
        <v>259151</v>
      </c>
    </row>
    <row r="478" spans="1:11" x14ac:dyDescent="0.25">
      <c r="A478" s="1">
        <v>45618</v>
      </c>
      <c r="B478" t="s">
        <v>18</v>
      </c>
      <c r="C478" t="s">
        <v>15</v>
      </c>
      <c r="D478">
        <v>49300</v>
      </c>
      <c r="E478">
        <v>525</v>
      </c>
      <c r="F478">
        <v>25882500</v>
      </c>
      <c r="G478">
        <v>492</v>
      </c>
      <c r="H478">
        <v>1626900</v>
      </c>
      <c r="I478" t="s">
        <v>13</v>
      </c>
      <c r="J478">
        <v>356193</v>
      </c>
      <c r="K478">
        <v>306893</v>
      </c>
    </row>
    <row r="479" spans="1:11" x14ac:dyDescent="0.25">
      <c r="A479" s="1">
        <v>45619</v>
      </c>
      <c r="B479" t="s">
        <v>11</v>
      </c>
      <c r="C479" t="s">
        <v>12</v>
      </c>
      <c r="D479">
        <v>57487</v>
      </c>
      <c r="E479">
        <v>681</v>
      </c>
      <c r="F479">
        <v>39148647</v>
      </c>
      <c r="G479">
        <v>612</v>
      </c>
      <c r="H479">
        <v>3966603</v>
      </c>
      <c r="I479" t="s">
        <v>17</v>
      </c>
      <c r="J479">
        <v>272930</v>
      </c>
      <c r="K479">
        <v>215443</v>
      </c>
    </row>
    <row r="480" spans="1:11" x14ac:dyDescent="0.25">
      <c r="A480" s="1">
        <v>45619</v>
      </c>
      <c r="B480" t="s">
        <v>11</v>
      </c>
      <c r="C480" t="s">
        <v>14</v>
      </c>
      <c r="D480">
        <v>48380</v>
      </c>
      <c r="E480">
        <v>791</v>
      </c>
      <c r="F480">
        <v>38268580</v>
      </c>
      <c r="G480">
        <v>741</v>
      </c>
      <c r="H480">
        <v>2419000</v>
      </c>
      <c r="I480" t="s">
        <v>17</v>
      </c>
      <c r="J480">
        <v>395113</v>
      </c>
      <c r="K480">
        <v>346733</v>
      </c>
    </row>
    <row r="481" spans="1:11" x14ac:dyDescent="0.25">
      <c r="A481" s="1">
        <v>45619</v>
      </c>
      <c r="B481" t="s">
        <v>11</v>
      </c>
      <c r="C481" t="s">
        <v>15</v>
      </c>
      <c r="D481">
        <v>73352</v>
      </c>
      <c r="E481">
        <v>563</v>
      </c>
      <c r="F481">
        <v>41297176</v>
      </c>
      <c r="G481">
        <v>517</v>
      </c>
      <c r="H481">
        <v>3374192</v>
      </c>
      <c r="I481" t="s">
        <v>17</v>
      </c>
      <c r="J481">
        <v>203191</v>
      </c>
      <c r="K481">
        <v>129839</v>
      </c>
    </row>
    <row r="482" spans="1:11" x14ac:dyDescent="0.25">
      <c r="A482" s="1">
        <v>45619</v>
      </c>
      <c r="B482" t="s">
        <v>16</v>
      </c>
      <c r="C482" t="s">
        <v>12</v>
      </c>
      <c r="D482">
        <v>84641</v>
      </c>
      <c r="E482">
        <v>659</v>
      </c>
      <c r="F482">
        <v>55778419</v>
      </c>
      <c r="G482">
        <v>582</v>
      </c>
      <c r="H482">
        <v>6517357</v>
      </c>
      <c r="I482" t="s">
        <v>17</v>
      </c>
      <c r="J482">
        <v>337244</v>
      </c>
      <c r="K482">
        <v>252603</v>
      </c>
    </row>
    <row r="483" spans="1:11" x14ac:dyDescent="0.25">
      <c r="A483" s="1">
        <v>45619</v>
      </c>
      <c r="B483" t="s">
        <v>16</v>
      </c>
      <c r="C483" t="s">
        <v>14</v>
      </c>
      <c r="D483">
        <v>40281</v>
      </c>
      <c r="E483">
        <v>770</v>
      </c>
      <c r="F483">
        <v>31016370</v>
      </c>
      <c r="G483">
        <v>713</v>
      </c>
      <c r="H483">
        <v>2296017</v>
      </c>
      <c r="I483" t="s">
        <v>13</v>
      </c>
      <c r="J483">
        <v>424033</v>
      </c>
      <c r="K483">
        <v>383752</v>
      </c>
    </row>
    <row r="484" spans="1:11" x14ac:dyDescent="0.25">
      <c r="A484" s="1">
        <v>45619</v>
      </c>
      <c r="B484" t="s">
        <v>16</v>
      </c>
      <c r="C484" t="s">
        <v>15</v>
      </c>
      <c r="D484">
        <v>48602</v>
      </c>
      <c r="E484">
        <v>585</v>
      </c>
      <c r="F484">
        <v>28432170</v>
      </c>
      <c r="G484">
        <v>548</v>
      </c>
      <c r="H484">
        <v>1798274</v>
      </c>
      <c r="I484" t="s">
        <v>17</v>
      </c>
      <c r="J484">
        <v>354544</v>
      </c>
      <c r="K484">
        <v>305942</v>
      </c>
    </row>
    <row r="485" spans="1:11" x14ac:dyDescent="0.25">
      <c r="A485" s="1">
        <v>45619</v>
      </c>
      <c r="B485" t="s">
        <v>18</v>
      </c>
      <c r="C485" t="s">
        <v>12</v>
      </c>
      <c r="D485">
        <v>27099</v>
      </c>
      <c r="E485">
        <v>686</v>
      </c>
      <c r="F485">
        <v>18589914</v>
      </c>
      <c r="G485">
        <v>633</v>
      </c>
      <c r="H485">
        <v>1436247</v>
      </c>
      <c r="I485" t="s">
        <v>17</v>
      </c>
      <c r="J485">
        <v>256492</v>
      </c>
      <c r="K485">
        <v>229393</v>
      </c>
    </row>
    <row r="486" spans="1:11" x14ac:dyDescent="0.25">
      <c r="A486" s="1">
        <v>45619</v>
      </c>
      <c r="B486" t="s">
        <v>18</v>
      </c>
      <c r="C486" t="s">
        <v>14</v>
      </c>
      <c r="D486">
        <v>67684</v>
      </c>
      <c r="E486">
        <v>836</v>
      </c>
      <c r="F486">
        <v>56583824</v>
      </c>
      <c r="G486">
        <v>770</v>
      </c>
      <c r="H486">
        <v>4467144</v>
      </c>
      <c r="I486" t="s">
        <v>13</v>
      </c>
      <c r="J486">
        <v>401548</v>
      </c>
      <c r="K486">
        <v>333864</v>
      </c>
    </row>
    <row r="487" spans="1:11" x14ac:dyDescent="0.25">
      <c r="A487" s="1">
        <v>45619</v>
      </c>
      <c r="B487" t="s">
        <v>18</v>
      </c>
      <c r="C487" t="s">
        <v>15</v>
      </c>
      <c r="D487">
        <v>80920</v>
      </c>
      <c r="E487">
        <v>586</v>
      </c>
      <c r="F487">
        <v>47419120</v>
      </c>
      <c r="G487">
        <v>514</v>
      </c>
      <c r="H487">
        <v>5826240</v>
      </c>
      <c r="I487" t="s">
        <v>17</v>
      </c>
      <c r="J487">
        <v>469932</v>
      </c>
      <c r="K487">
        <v>389012</v>
      </c>
    </row>
    <row r="488" spans="1:11" x14ac:dyDescent="0.25">
      <c r="A488" s="1">
        <v>45620</v>
      </c>
      <c r="B488" t="s">
        <v>11</v>
      </c>
      <c r="C488" t="s">
        <v>12</v>
      </c>
      <c r="D488">
        <v>36531</v>
      </c>
      <c r="E488">
        <v>620</v>
      </c>
      <c r="F488">
        <v>22649220</v>
      </c>
      <c r="G488">
        <v>551</v>
      </c>
      <c r="H488">
        <v>2520639</v>
      </c>
      <c r="I488" t="s">
        <v>13</v>
      </c>
      <c r="J488">
        <v>341214</v>
      </c>
      <c r="K488">
        <v>304683</v>
      </c>
    </row>
    <row r="489" spans="1:11" x14ac:dyDescent="0.25">
      <c r="A489" s="1">
        <v>45620</v>
      </c>
      <c r="B489" t="s">
        <v>11</v>
      </c>
      <c r="C489" t="s">
        <v>14</v>
      </c>
      <c r="D489">
        <v>68355</v>
      </c>
      <c r="E489">
        <v>888</v>
      </c>
      <c r="F489">
        <v>60699240</v>
      </c>
      <c r="G489">
        <v>844</v>
      </c>
      <c r="H489">
        <v>3007620</v>
      </c>
      <c r="I489" t="s">
        <v>17</v>
      </c>
      <c r="J489">
        <v>434706</v>
      </c>
      <c r="K489">
        <v>366351</v>
      </c>
    </row>
    <row r="490" spans="1:11" x14ac:dyDescent="0.25">
      <c r="A490" s="1">
        <v>45620</v>
      </c>
      <c r="B490" t="s">
        <v>11</v>
      </c>
      <c r="C490" t="s">
        <v>15</v>
      </c>
      <c r="D490">
        <v>84027</v>
      </c>
      <c r="E490">
        <v>550</v>
      </c>
      <c r="F490">
        <v>46214850</v>
      </c>
      <c r="G490">
        <v>478</v>
      </c>
      <c r="H490">
        <v>6049944</v>
      </c>
      <c r="I490" t="s">
        <v>17</v>
      </c>
      <c r="J490">
        <v>292601</v>
      </c>
      <c r="K490">
        <v>208574</v>
      </c>
    </row>
    <row r="491" spans="1:11" x14ac:dyDescent="0.25">
      <c r="A491" s="1">
        <v>45620</v>
      </c>
      <c r="B491" t="s">
        <v>16</v>
      </c>
      <c r="C491" t="s">
        <v>12</v>
      </c>
      <c r="D491">
        <v>25439</v>
      </c>
      <c r="E491">
        <v>609</v>
      </c>
      <c r="F491">
        <v>15492351</v>
      </c>
      <c r="G491">
        <v>542</v>
      </c>
      <c r="H491">
        <v>1704413</v>
      </c>
      <c r="I491" t="s">
        <v>13</v>
      </c>
      <c r="J491">
        <v>278815</v>
      </c>
      <c r="K491">
        <v>253376</v>
      </c>
    </row>
    <row r="492" spans="1:11" x14ac:dyDescent="0.25">
      <c r="A492" s="1">
        <v>45620</v>
      </c>
      <c r="B492" t="s">
        <v>16</v>
      </c>
      <c r="C492" t="s">
        <v>14</v>
      </c>
      <c r="D492">
        <v>43888</v>
      </c>
      <c r="E492">
        <v>885</v>
      </c>
      <c r="F492">
        <v>38840880</v>
      </c>
      <c r="G492">
        <v>816</v>
      </c>
      <c r="H492">
        <v>3028272</v>
      </c>
      <c r="I492" t="s">
        <v>17</v>
      </c>
      <c r="J492">
        <v>327896</v>
      </c>
      <c r="K492">
        <v>284008</v>
      </c>
    </row>
    <row r="493" spans="1:11" x14ac:dyDescent="0.25">
      <c r="A493" s="1">
        <v>45620</v>
      </c>
      <c r="B493" t="s">
        <v>16</v>
      </c>
      <c r="C493" t="s">
        <v>15</v>
      </c>
      <c r="D493">
        <v>72161</v>
      </c>
      <c r="E493">
        <v>578</v>
      </c>
      <c r="F493">
        <v>41709058</v>
      </c>
      <c r="G493">
        <v>499</v>
      </c>
      <c r="H493">
        <v>5700719</v>
      </c>
      <c r="I493" t="s">
        <v>17</v>
      </c>
      <c r="J493">
        <v>422146</v>
      </c>
      <c r="K493">
        <v>349985</v>
      </c>
    </row>
    <row r="494" spans="1:11" x14ac:dyDescent="0.25">
      <c r="A494" s="1">
        <v>45620</v>
      </c>
      <c r="B494" t="s">
        <v>18</v>
      </c>
      <c r="C494" t="s">
        <v>12</v>
      </c>
      <c r="D494">
        <v>70979</v>
      </c>
      <c r="E494">
        <v>667</v>
      </c>
      <c r="F494">
        <v>47342993</v>
      </c>
      <c r="G494">
        <v>624</v>
      </c>
      <c r="H494">
        <v>3052097</v>
      </c>
      <c r="I494" t="s">
        <v>17</v>
      </c>
      <c r="J494">
        <v>373672</v>
      </c>
      <c r="K494">
        <v>302693</v>
      </c>
    </row>
    <row r="495" spans="1:11" x14ac:dyDescent="0.25">
      <c r="A495" s="1">
        <v>45620</v>
      </c>
      <c r="B495" t="s">
        <v>18</v>
      </c>
      <c r="C495" t="s">
        <v>14</v>
      </c>
      <c r="D495">
        <v>81558</v>
      </c>
      <c r="E495">
        <v>863</v>
      </c>
      <c r="F495">
        <v>70384554</v>
      </c>
      <c r="G495">
        <v>824</v>
      </c>
      <c r="H495">
        <v>3180762</v>
      </c>
      <c r="I495" t="s">
        <v>13</v>
      </c>
      <c r="J495">
        <v>234964</v>
      </c>
      <c r="K495">
        <v>153406</v>
      </c>
    </row>
    <row r="496" spans="1:11" x14ac:dyDescent="0.25">
      <c r="A496" s="1">
        <v>45620</v>
      </c>
      <c r="B496" t="s">
        <v>18</v>
      </c>
      <c r="C496" t="s">
        <v>15</v>
      </c>
      <c r="D496">
        <v>45227</v>
      </c>
      <c r="E496">
        <v>590</v>
      </c>
      <c r="F496">
        <v>26683930</v>
      </c>
      <c r="G496">
        <v>521</v>
      </c>
      <c r="H496">
        <v>3120663</v>
      </c>
      <c r="I496" t="s">
        <v>13</v>
      </c>
      <c r="J496">
        <v>479297</v>
      </c>
      <c r="K496">
        <v>434070</v>
      </c>
    </row>
    <row r="497" spans="1:11" x14ac:dyDescent="0.25">
      <c r="A497" s="1">
        <v>45621</v>
      </c>
      <c r="B497" t="s">
        <v>11</v>
      </c>
      <c r="C497" t="s">
        <v>12</v>
      </c>
      <c r="D497">
        <v>59071</v>
      </c>
      <c r="E497">
        <v>694</v>
      </c>
      <c r="F497">
        <v>40995274</v>
      </c>
      <c r="G497">
        <v>649</v>
      </c>
      <c r="H497">
        <v>2658195</v>
      </c>
      <c r="I497" t="s">
        <v>13</v>
      </c>
      <c r="J497">
        <v>209503</v>
      </c>
      <c r="K497">
        <v>150432</v>
      </c>
    </row>
    <row r="498" spans="1:11" x14ac:dyDescent="0.25">
      <c r="A498" s="1">
        <v>45621</v>
      </c>
      <c r="B498" t="s">
        <v>11</v>
      </c>
      <c r="C498" t="s">
        <v>14</v>
      </c>
      <c r="D498">
        <v>84379</v>
      </c>
      <c r="E498">
        <v>760</v>
      </c>
      <c r="F498">
        <v>64128040</v>
      </c>
      <c r="G498">
        <v>721</v>
      </c>
      <c r="H498">
        <v>3290781</v>
      </c>
      <c r="I498" t="s">
        <v>17</v>
      </c>
      <c r="J498">
        <v>245838</v>
      </c>
      <c r="K498">
        <v>161459</v>
      </c>
    </row>
    <row r="499" spans="1:11" x14ac:dyDescent="0.25">
      <c r="A499" s="1">
        <v>45621</v>
      </c>
      <c r="B499" t="s">
        <v>11</v>
      </c>
      <c r="C499" t="s">
        <v>15</v>
      </c>
      <c r="D499">
        <v>78279</v>
      </c>
      <c r="E499">
        <v>517</v>
      </c>
      <c r="F499">
        <v>40470243</v>
      </c>
      <c r="G499">
        <v>479</v>
      </c>
      <c r="H499">
        <v>2974602</v>
      </c>
      <c r="I499" t="s">
        <v>17</v>
      </c>
      <c r="J499">
        <v>270119</v>
      </c>
      <c r="K499">
        <v>191840</v>
      </c>
    </row>
    <row r="500" spans="1:11" x14ac:dyDescent="0.25">
      <c r="A500" s="1">
        <v>45621</v>
      </c>
      <c r="B500" t="s">
        <v>16</v>
      </c>
      <c r="C500" t="s">
        <v>12</v>
      </c>
      <c r="D500">
        <v>74093</v>
      </c>
      <c r="E500">
        <v>688</v>
      </c>
      <c r="F500">
        <v>50975984</v>
      </c>
      <c r="G500">
        <v>609</v>
      </c>
      <c r="H500">
        <v>5853347</v>
      </c>
      <c r="I500" t="s">
        <v>13</v>
      </c>
      <c r="J500">
        <v>377876</v>
      </c>
      <c r="K500">
        <v>303783</v>
      </c>
    </row>
    <row r="501" spans="1:11" x14ac:dyDescent="0.25">
      <c r="A501" s="1">
        <v>45621</v>
      </c>
      <c r="B501" t="s">
        <v>16</v>
      </c>
      <c r="C501" t="s">
        <v>14</v>
      </c>
      <c r="D501">
        <v>84946</v>
      </c>
      <c r="E501">
        <v>862</v>
      </c>
      <c r="F501">
        <v>73223452</v>
      </c>
      <c r="G501">
        <v>812</v>
      </c>
      <c r="H501">
        <v>4247300</v>
      </c>
      <c r="I501" t="s">
        <v>13</v>
      </c>
      <c r="J501">
        <v>277794</v>
      </c>
      <c r="K501">
        <v>192848</v>
      </c>
    </row>
    <row r="502" spans="1:11" x14ac:dyDescent="0.25">
      <c r="A502" s="1">
        <v>45621</v>
      </c>
      <c r="B502" t="s">
        <v>16</v>
      </c>
      <c r="C502" t="s">
        <v>15</v>
      </c>
      <c r="D502">
        <v>68758</v>
      </c>
      <c r="E502">
        <v>538</v>
      </c>
      <c r="F502">
        <v>36991804</v>
      </c>
      <c r="G502">
        <v>460</v>
      </c>
      <c r="H502">
        <v>5363124</v>
      </c>
      <c r="I502" t="s">
        <v>17</v>
      </c>
      <c r="J502">
        <v>237643</v>
      </c>
      <c r="K502">
        <v>168885</v>
      </c>
    </row>
    <row r="503" spans="1:11" x14ac:dyDescent="0.25">
      <c r="A503" s="1">
        <v>45621</v>
      </c>
      <c r="B503" t="s">
        <v>18</v>
      </c>
      <c r="C503" t="s">
        <v>12</v>
      </c>
      <c r="D503">
        <v>63950</v>
      </c>
      <c r="E503">
        <v>617</v>
      </c>
      <c r="F503">
        <v>39457150</v>
      </c>
      <c r="G503">
        <v>567</v>
      </c>
      <c r="H503">
        <v>3197500</v>
      </c>
      <c r="I503" t="s">
        <v>13</v>
      </c>
      <c r="J503">
        <v>359116</v>
      </c>
      <c r="K503">
        <v>295166</v>
      </c>
    </row>
    <row r="504" spans="1:11" x14ac:dyDescent="0.25">
      <c r="A504" s="1">
        <v>45621</v>
      </c>
      <c r="B504" t="s">
        <v>18</v>
      </c>
      <c r="C504" t="s">
        <v>14</v>
      </c>
      <c r="D504">
        <v>35997</v>
      </c>
      <c r="E504">
        <v>885</v>
      </c>
      <c r="F504">
        <v>31857345</v>
      </c>
      <c r="G504">
        <v>810</v>
      </c>
      <c r="H504">
        <v>2699775</v>
      </c>
      <c r="I504" t="s">
        <v>13</v>
      </c>
      <c r="J504">
        <v>425942</v>
      </c>
      <c r="K504">
        <v>389945</v>
      </c>
    </row>
    <row r="505" spans="1:11" x14ac:dyDescent="0.25">
      <c r="A505" s="1">
        <v>45621</v>
      </c>
      <c r="B505" t="s">
        <v>18</v>
      </c>
      <c r="C505" t="s">
        <v>15</v>
      </c>
      <c r="D505">
        <v>77941</v>
      </c>
      <c r="E505">
        <v>521</v>
      </c>
      <c r="F505">
        <v>40607261</v>
      </c>
      <c r="G505">
        <v>449</v>
      </c>
      <c r="H505">
        <v>5611752</v>
      </c>
      <c r="I505" t="s">
        <v>13</v>
      </c>
      <c r="J505">
        <v>389784</v>
      </c>
      <c r="K505">
        <v>311843</v>
      </c>
    </row>
    <row r="506" spans="1:11" x14ac:dyDescent="0.25">
      <c r="A506" s="1">
        <v>45622</v>
      </c>
      <c r="B506" t="s">
        <v>11</v>
      </c>
      <c r="C506" t="s">
        <v>12</v>
      </c>
      <c r="D506">
        <v>43387</v>
      </c>
      <c r="E506">
        <v>628</v>
      </c>
      <c r="F506">
        <v>27247036</v>
      </c>
      <c r="G506">
        <v>586</v>
      </c>
      <c r="H506">
        <v>1822254</v>
      </c>
      <c r="I506" t="s">
        <v>13</v>
      </c>
      <c r="J506">
        <v>285457</v>
      </c>
      <c r="K506">
        <v>242070</v>
      </c>
    </row>
    <row r="507" spans="1:11" x14ac:dyDescent="0.25">
      <c r="A507" s="1">
        <v>45622</v>
      </c>
      <c r="B507" t="s">
        <v>11</v>
      </c>
      <c r="C507" t="s">
        <v>14</v>
      </c>
      <c r="D507">
        <v>84028</v>
      </c>
      <c r="E507">
        <v>776</v>
      </c>
      <c r="F507">
        <v>65205728</v>
      </c>
      <c r="G507">
        <v>697</v>
      </c>
      <c r="H507">
        <v>6638212</v>
      </c>
      <c r="I507" t="s">
        <v>17</v>
      </c>
      <c r="J507">
        <v>244638</v>
      </c>
      <c r="K507">
        <v>160610</v>
      </c>
    </row>
    <row r="508" spans="1:11" x14ac:dyDescent="0.25">
      <c r="A508" s="1">
        <v>45622</v>
      </c>
      <c r="B508" t="s">
        <v>11</v>
      </c>
      <c r="C508" t="s">
        <v>15</v>
      </c>
      <c r="D508">
        <v>66486</v>
      </c>
      <c r="E508">
        <v>587</v>
      </c>
      <c r="F508">
        <v>39027282</v>
      </c>
      <c r="G508">
        <v>514</v>
      </c>
      <c r="H508">
        <v>4853478</v>
      </c>
      <c r="I508" t="s">
        <v>13</v>
      </c>
      <c r="J508">
        <v>257804</v>
      </c>
      <c r="K508">
        <v>191318</v>
      </c>
    </row>
    <row r="509" spans="1:11" x14ac:dyDescent="0.25">
      <c r="A509" s="1">
        <v>45622</v>
      </c>
      <c r="B509" t="s">
        <v>16</v>
      </c>
      <c r="C509" t="s">
        <v>12</v>
      </c>
      <c r="D509">
        <v>23754</v>
      </c>
      <c r="E509">
        <v>636</v>
      </c>
      <c r="F509">
        <v>15107544</v>
      </c>
      <c r="G509">
        <v>574</v>
      </c>
      <c r="H509">
        <v>1472748</v>
      </c>
      <c r="I509" t="s">
        <v>17</v>
      </c>
      <c r="J509">
        <v>456695</v>
      </c>
      <c r="K509">
        <v>432941</v>
      </c>
    </row>
    <row r="510" spans="1:11" x14ac:dyDescent="0.25">
      <c r="A510" s="1">
        <v>45622</v>
      </c>
      <c r="B510" t="s">
        <v>16</v>
      </c>
      <c r="C510" t="s">
        <v>14</v>
      </c>
      <c r="D510">
        <v>28894</v>
      </c>
      <c r="E510">
        <v>867</v>
      </c>
      <c r="F510">
        <v>25051098</v>
      </c>
      <c r="G510">
        <v>819</v>
      </c>
      <c r="H510">
        <v>1386912</v>
      </c>
      <c r="I510" t="s">
        <v>13</v>
      </c>
      <c r="J510">
        <v>382684</v>
      </c>
      <c r="K510">
        <v>353790</v>
      </c>
    </row>
    <row r="511" spans="1:11" x14ac:dyDescent="0.25">
      <c r="A511" s="1">
        <v>45622</v>
      </c>
      <c r="B511" t="s">
        <v>16</v>
      </c>
      <c r="C511" t="s">
        <v>15</v>
      </c>
      <c r="D511">
        <v>25926</v>
      </c>
      <c r="E511">
        <v>524</v>
      </c>
      <c r="F511">
        <v>13585224</v>
      </c>
      <c r="G511">
        <v>458</v>
      </c>
      <c r="H511">
        <v>1711116</v>
      </c>
      <c r="I511" t="s">
        <v>13</v>
      </c>
      <c r="J511">
        <v>360878</v>
      </c>
      <c r="K511">
        <v>334952</v>
      </c>
    </row>
    <row r="512" spans="1:11" x14ac:dyDescent="0.25">
      <c r="A512" s="1">
        <v>45622</v>
      </c>
      <c r="B512" t="s">
        <v>18</v>
      </c>
      <c r="C512" t="s">
        <v>12</v>
      </c>
      <c r="D512">
        <v>61321</v>
      </c>
      <c r="E512">
        <v>657</v>
      </c>
      <c r="F512">
        <v>40287897</v>
      </c>
      <c r="G512">
        <v>612</v>
      </c>
      <c r="H512">
        <v>2759445</v>
      </c>
      <c r="I512" t="s">
        <v>17</v>
      </c>
      <c r="J512">
        <v>255147</v>
      </c>
      <c r="K512">
        <v>193826</v>
      </c>
    </row>
    <row r="513" spans="1:11" x14ac:dyDescent="0.25">
      <c r="A513" s="1">
        <v>45622</v>
      </c>
      <c r="B513" t="s">
        <v>18</v>
      </c>
      <c r="C513" t="s">
        <v>14</v>
      </c>
      <c r="D513">
        <v>69666</v>
      </c>
      <c r="E513">
        <v>881</v>
      </c>
      <c r="F513">
        <v>61375746</v>
      </c>
      <c r="G513">
        <v>812</v>
      </c>
      <c r="H513">
        <v>4806954</v>
      </c>
      <c r="I513" t="s">
        <v>13</v>
      </c>
      <c r="J513">
        <v>221727</v>
      </c>
      <c r="K513">
        <v>152061</v>
      </c>
    </row>
    <row r="514" spans="1:11" x14ac:dyDescent="0.25">
      <c r="A514" s="1">
        <v>45622</v>
      </c>
      <c r="B514" t="s">
        <v>18</v>
      </c>
      <c r="C514" t="s">
        <v>15</v>
      </c>
      <c r="D514">
        <v>88056</v>
      </c>
      <c r="E514">
        <v>509</v>
      </c>
      <c r="F514">
        <v>44820504</v>
      </c>
      <c r="G514">
        <v>459</v>
      </c>
      <c r="H514">
        <v>4402800</v>
      </c>
      <c r="I514" t="s">
        <v>13</v>
      </c>
      <c r="J514">
        <v>367807</v>
      </c>
      <c r="K514">
        <v>279751</v>
      </c>
    </row>
    <row r="515" spans="1:11" x14ac:dyDescent="0.25">
      <c r="A515" s="1">
        <v>45623</v>
      </c>
      <c r="B515" t="s">
        <v>11</v>
      </c>
      <c r="C515" t="s">
        <v>12</v>
      </c>
      <c r="D515">
        <v>45498</v>
      </c>
      <c r="E515">
        <v>665</v>
      </c>
      <c r="F515">
        <v>30256170</v>
      </c>
      <c r="G515">
        <v>595</v>
      </c>
      <c r="H515">
        <v>3184860</v>
      </c>
      <c r="I515" t="s">
        <v>17</v>
      </c>
      <c r="J515">
        <v>267695</v>
      </c>
      <c r="K515">
        <v>222197</v>
      </c>
    </row>
    <row r="516" spans="1:11" x14ac:dyDescent="0.25">
      <c r="A516" s="1">
        <v>45623</v>
      </c>
      <c r="B516" t="s">
        <v>11</v>
      </c>
      <c r="C516" t="s">
        <v>14</v>
      </c>
      <c r="D516">
        <v>67701</v>
      </c>
      <c r="E516">
        <v>839</v>
      </c>
      <c r="F516">
        <v>56801139</v>
      </c>
      <c r="G516">
        <v>798</v>
      </c>
      <c r="H516">
        <v>2775741</v>
      </c>
      <c r="I516" t="s">
        <v>13</v>
      </c>
      <c r="J516">
        <v>226832</v>
      </c>
      <c r="K516">
        <v>159131</v>
      </c>
    </row>
    <row r="517" spans="1:11" x14ac:dyDescent="0.25">
      <c r="A517" s="1">
        <v>45623</v>
      </c>
      <c r="B517" t="s">
        <v>11</v>
      </c>
      <c r="C517" t="s">
        <v>15</v>
      </c>
      <c r="D517">
        <v>33944</v>
      </c>
      <c r="E517">
        <v>533</v>
      </c>
      <c r="F517">
        <v>18092152</v>
      </c>
      <c r="G517">
        <v>484</v>
      </c>
      <c r="H517">
        <v>1663256</v>
      </c>
      <c r="I517" t="s">
        <v>13</v>
      </c>
      <c r="J517">
        <v>317322</v>
      </c>
      <c r="K517">
        <v>283378</v>
      </c>
    </row>
    <row r="518" spans="1:11" x14ac:dyDescent="0.25">
      <c r="A518" s="1">
        <v>45623</v>
      </c>
      <c r="B518" t="s">
        <v>16</v>
      </c>
      <c r="C518" t="s">
        <v>12</v>
      </c>
      <c r="D518">
        <v>25110</v>
      </c>
      <c r="E518">
        <v>669</v>
      </c>
      <c r="F518">
        <v>16798590</v>
      </c>
      <c r="G518">
        <v>621</v>
      </c>
      <c r="H518">
        <v>1205280</v>
      </c>
      <c r="I518" t="s">
        <v>17</v>
      </c>
      <c r="J518">
        <v>300483</v>
      </c>
      <c r="K518">
        <v>275373</v>
      </c>
    </row>
    <row r="519" spans="1:11" x14ac:dyDescent="0.25">
      <c r="A519" s="1">
        <v>45623</v>
      </c>
      <c r="B519" t="s">
        <v>16</v>
      </c>
      <c r="C519" t="s">
        <v>14</v>
      </c>
      <c r="D519">
        <v>29596</v>
      </c>
      <c r="E519">
        <v>881</v>
      </c>
      <c r="F519">
        <v>26074076</v>
      </c>
      <c r="G519">
        <v>832</v>
      </c>
      <c r="H519">
        <v>1450204</v>
      </c>
      <c r="I519" t="s">
        <v>13</v>
      </c>
      <c r="J519">
        <v>218313</v>
      </c>
      <c r="K519">
        <v>188717</v>
      </c>
    </row>
    <row r="520" spans="1:11" x14ac:dyDescent="0.25">
      <c r="A520" s="1">
        <v>45623</v>
      </c>
      <c r="B520" t="s">
        <v>16</v>
      </c>
      <c r="C520" t="s">
        <v>15</v>
      </c>
      <c r="D520">
        <v>86549</v>
      </c>
      <c r="E520">
        <v>598</v>
      </c>
      <c r="F520">
        <v>51756302</v>
      </c>
      <c r="G520">
        <v>543</v>
      </c>
      <c r="H520">
        <v>4760195</v>
      </c>
      <c r="I520" t="s">
        <v>13</v>
      </c>
      <c r="J520">
        <v>398436</v>
      </c>
      <c r="K520">
        <v>311887</v>
      </c>
    </row>
    <row r="521" spans="1:11" x14ac:dyDescent="0.25">
      <c r="A521" s="1">
        <v>45623</v>
      </c>
      <c r="B521" t="s">
        <v>18</v>
      </c>
      <c r="C521" t="s">
        <v>12</v>
      </c>
      <c r="D521">
        <v>22023</v>
      </c>
      <c r="E521">
        <v>620</v>
      </c>
      <c r="F521">
        <v>13654260</v>
      </c>
      <c r="G521">
        <v>581</v>
      </c>
      <c r="H521">
        <v>858897</v>
      </c>
      <c r="I521" t="s">
        <v>13</v>
      </c>
      <c r="J521">
        <v>264429</v>
      </c>
      <c r="K521">
        <v>242406</v>
      </c>
    </row>
    <row r="522" spans="1:11" x14ac:dyDescent="0.25">
      <c r="A522" s="1">
        <v>45623</v>
      </c>
      <c r="B522" t="s">
        <v>18</v>
      </c>
      <c r="C522" t="s">
        <v>14</v>
      </c>
      <c r="D522">
        <v>81627</v>
      </c>
      <c r="E522">
        <v>806</v>
      </c>
      <c r="F522">
        <v>65791362</v>
      </c>
      <c r="G522">
        <v>732</v>
      </c>
      <c r="H522">
        <v>6040398</v>
      </c>
      <c r="I522" t="s">
        <v>17</v>
      </c>
      <c r="J522">
        <v>489910</v>
      </c>
      <c r="K522">
        <v>408283</v>
      </c>
    </row>
    <row r="523" spans="1:11" x14ac:dyDescent="0.25">
      <c r="A523" s="1">
        <v>45623</v>
      </c>
      <c r="B523" t="s">
        <v>18</v>
      </c>
      <c r="C523" t="s">
        <v>15</v>
      </c>
      <c r="D523">
        <v>88099</v>
      </c>
      <c r="E523">
        <v>592</v>
      </c>
      <c r="F523">
        <v>52154608</v>
      </c>
      <c r="G523">
        <v>549</v>
      </c>
      <c r="H523">
        <v>3788257</v>
      </c>
      <c r="I523" t="s">
        <v>13</v>
      </c>
      <c r="J523">
        <v>269122</v>
      </c>
      <c r="K523">
        <v>181023</v>
      </c>
    </row>
    <row r="524" spans="1:11" x14ac:dyDescent="0.25">
      <c r="A524" s="1">
        <v>45624</v>
      </c>
      <c r="B524" t="s">
        <v>11</v>
      </c>
      <c r="C524" t="s">
        <v>12</v>
      </c>
      <c r="D524">
        <v>68868</v>
      </c>
      <c r="E524">
        <v>679</v>
      </c>
      <c r="F524">
        <v>46761372</v>
      </c>
      <c r="G524">
        <v>646</v>
      </c>
      <c r="H524">
        <v>2272644</v>
      </c>
      <c r="I524" t="s">
        <v>13</v>
      </c>
      <c r="J524">
        <v>498871</v>
      </c>
      <c r="K524">
        <v>430003</v>
      </c>
    </row>
    <row r="525" spans="1:11" x14ac:dyDescent="0.25">
      <c r="A525" s="1">
        <v>45624</v>
      </c>
      <c r="B525" t="s">
        <v>11</v>
      </c>
      <c r="C525" t="s">
        <v>14</v>
      </c>
      <c r="D525">
        <v>85697</v>
      </c>
      <c r="E525">
        <v>831</v>
      </c>
      <c r="F525">
        <v>71214207</v>
      </c>
      <c r="G525">
        <v>783</v>
      </c>
      <c r="H525">
        <v>4113456</v>
      </c>
      <c r="I525" t="s">
        <v>13</v>
      </c>
      <c r="J525">
        <v>394718</v>
      </c>
      <c r="K525">
        <v>309021</v>
      </c>
    </row>
    <row r="526" spans="1:11" x14ac:dyDescent="0.25">
      <c r="A526" s="1">
        <v>45624</v>
      </c>
      <c r="B526" t="s">
        <v>11</v>
      </c>
      <c r="C526" t="s">
        <v>15</v>
      </c>
      <c r="D526">
        <v>48731</v>
      </c>
      <c r="E526">
        <v>518</v>
      </c>
      <c r="F526">
        <v>25242658</v>
      </c>
      <c r="G526">
        <v>440</v>
      </c>
      <c r="H526">
        <v>3801018</v>
      </c>
      <c r="I526" t="s">
        <v>13</v>
      </c>
      <c r="J526">
        <v>268926</v>
      </c>
      <c r="K526">
        <v>220195</v>
      </c>
    </row>
    <row r="527" spans="1:11" x14ac:dyDescent="0.25">
      <c r="A527" s="1">
        <v>45624</v>
      </c>
      <c r="B527" t="s">
        <v>16</v>
      </c>
      <c r="C527" t="s">
        <v>12</v>
      </c>
      <c r="D527">
        <v>75506</v>
      </c>
      <c r="E527">
        <v>621</v>
      </c>
      <c r="F527">
        <v>46889226</v>
      </c>
      <c r="G527">
        <v>568</v>
      </c>
      <c r="H527">
        <v>4001818</v>
      </c>
      <c r="I527" t="s">
        <v>13</v>
      </c>
      <c r="J527">
        <v>242092</v>
      </c>
      <c r="K527">
        <v>166586</v>
      </c>
    </row>
    <row r="528" spans="1:11" x14ac:dyDescent="0.25">
      <c r="A528" s="1">
        <v>45624</v>
      </c>
      <c r="B528" t="s">
        <v>16</v>
      </c>
      <c r="C528" t="s">
        <v>14</v>
      </c>
      <c r="D528">
        <v>86077</v>
      </c>
      <c r="E528">
        <v>807</v>
      </c>
      <c r="F528">
        <v>69464139</v>
      </c>
      <c r="G528">
        <v>740</v>
      </c>
      <c r="H528">
        <v>5767159</v>
      </c>
      <c r="I528" t="s">
        <v>17</v>
      </c>
      <c r="J528">
        <v>213428</v>
      </c>
      <c r="K528">
        <v>127351</v>
      </c>
    </row>
    <row r="529" spans="1:11" x14ac:dyDescent="0.25">
      <c r="A529" s="1">
        <v>45624</v>
      </c>
      <c r="B529" t="s">
        <v>16</v>
      </c>
      <c r="C529" t="s">
        <v>15</v>
      </c>
      <c r="D529">
        <v>30258</v>
      </c>
      <c r="E529">
        <v>547</v>
      </c>
      <c r="F529">
        <v>16551126</v>
      </c>
      <c r="G529">
        <v>473</v>
      </c>
      <c r="H529">
        <v>2239092</v>
      </c>
      <c r="I529" t="s">
        <v>17</v>
      </c>
      <c r="J529">
        <v>467613</v>
      </c>
      <c r="K529">
        <v>437355</v>
      </c>
    </row>
    <row r="530" spans="1:11" x14ac:dyDescent="0.25">
      <c r="A530" s="1">
        <v>45624</v>
      </c>
      <c r="B530" t="s">
        <v>18</v>
      </c>
      <c r="C530" t="s">
        <v>12</v>
      </c>
      <c r="D530">
        <v>26256</v>
      </c>
      <c r="E530">
        <v>654</v>
      </c>
      <c r="F530">
        <v>17171424</v>
      </c>
      <c r="G530">
        <v>592</v>
      </c>
      <c r="H530">
        <v>1627872</v>
      </c>
      <c r="I530" t="s">
        <v>17</v>
      </c>
      <c r="J530">
        <v>332723</v>
      </c>
      <c r="K530">
        <v>306467</v>
      </c>
    </row>
    <row r="531" spans="1:11" x14ac:dyDescent="0.25">
      <c r="A531" s="1">
        <v>45624</v>
      </c>
      <c r="B531" t="s">
        <v>18</v>
      </c>
      <c r="C531" t="s">
        <v>14</v>
      </c>
      <c r="D531">
        <v>45051</v>
      </c>
      <c r="E531">
        <v>796</v>
      </c>
      <c r="F531">
        <v>35860596</v>
      </c>
      <c r="G531">
        <v>756</v>
      </c>
      <c r="H531">
        <v>1802040</v>
      </c>
      <c r="I531" t="s">
        <v>13</v>
      </c>
      <c r="J531">
        <v>233787</v>
      </c>
      <c r="K531">
        <v>188736</v>
      </c>
    </row>
    <row r="532" spans="1:11" x14ac:dyDescent="0.25">
      <c r="A532" s="1">
        <v>45624</v>
      </c>
      <c r="B532" t="s">
        <v>18</v>
      </c>
      <c r="C532" t="s">
        <v>15</v>
      </c>
      <c r="D532">
        <v>79792</v>
      </c>
      <c r="E532">
        <v>569</v>
      </c>
      <c r="F532">
        <v>45401648</v>
      </c>
      <c r="G532">
        <v>536</v>
      </c>
      <c r="H532">
        <v>2633136</v>
      </c>
      <c r="I532" t="s">
        <v>17</v>
      </c>
      <c r="J532">
        <v>230447</v>
      </c>
      <c r="K532">
        <v>150655</v>
      </c>
    </row>
    <row r="533" spans="1:11" x14ac:dyDescent="0.25">
      <c r="A533" s="1">
        <v>45625</v>
      </c>
      <c r="B533" t="s">
        <v>11</v>
      </c>
      <c r="C533" t="s">
        <v>12</v>
      </c>
      <c r="D533">
        <v>50254</v>
      </c>
      <c r="E533">
        <v>677</v>
      </c>
      <c r="F533">
        <v>34021958</v>
      </c>
      <c r="G533">
        <v>637</v>
      </c>
      <c r="H533">
        <v>2010160</v>
      </c>
      <c r="I533" t="s">
        <v>17</v>
      </c>
      <c r="J533">
        <v>203471</v>
      </c>
      <c r="K533">
        <v>153217</v>
      </c>
    </row>
    <row r="534" spans="1:11" x14ac:dyDescent="0.25">
      <c r="A534" s="1">
        <v>45625</v>
      </c>
      <c r="B534" t="s">
        <v>11</v>
      </c>
      <c r="C534" t="s">
        <v>14</v>
      </c>
      <c r="D534">
        <v>28329</v>
      </c>
      <c r="E534">
        <v>799</v>
      </c>
      <c r="F534">
        <v>22634871</v>
      </c>
      <c r="G534">
        <v>767</v>
      </c>
      <c r="H534">
        <v>906528</v>
      </c>
      <c r="I534" t="s">
        <v>17</v>
      </c>
      <c r="J534">
        <v>443306</v>
      </c>
      <c r="K534">
        <v>414977</v>
      </c>
    </row>
    <row r="535" spans="1:11" x14ac:dyDescent="0.25">
      <c r="A535" s="1">
        <v>45625</v>
      </c>
      <c r="B535" t="s">
        <v>11</v>
      </c>
      <c r="C535" t="s">
        <v>15</v>
      </c>
      <c r="D535">
        <v>26397</v>
      </c>
      <c r="E535">
        <v>569</v>
      </c>
      <c r="F535">
        <v>15019893</v>
      </c>
      <c r="G535">
        <v>523</v>
      </c>
      <c r="H535">
        <v>1214262</v>
      </c>
      <c r="I535" t="s">
        <v>17</v>
      </c>
      <c r="J535">
        <v>421178</v>
      </c>
      <c r="K535">
        <v>394781</v>
      </c>
    </row>
    <row r="536" spans="1:11" x14ac:dyDescent="0.25">
      <c r="A536" s="1">
        <v>45625</v>
      </c>
      <c r="B536" t="s">
        <v>16</v>
      </c>
      <c r="C536" t="s">
        <v>12</v>
      </c>
      <c r="D536">
        <v>43284</v>
      </c>
      <c r="E536">
        <v>618</v>
      </c>
      <c r="F536">
        <v>26749512</v>
      </c>
      <c r="G536">
        <v>547</v>
      </c>
      <c r="H536">
        <v>3073164</v>
      </c>
      <c r="I536" t="s">
        <v>13</v>
      </c>
      <c r="J536">
        <v>487266</v>
      </c>
      <c r="K536">
        <v>443982</v>
      </c>
    </row>
    <row r="537" spans="1:11" x14ac:dyDescent="0.25">
      <c r="A537" s="1">
        <v>45625</v>
      </c>
      <c r="B537" t="s">
        <v>16</v>
      </c>
      <c r="C537" t="s">
        <v>14</v>
      </c>
      <c r="D537">
        <v>82812</v>
      </c>
      <c r="E537">
        <v>813</v>
      </c>
      <c r="F537">
        <v>67326156</v>
      </c>
      <c r="G537">
        <v>747</v>
      </c>
      <c r="H537">
        <v>5465592</v>
      </c>
      <c r="I537" t="s">
        <v>17</v>
      </c>
      <c r="J537">
        <v>333168</v>
      </c>
      <c r="K537">
        <v>250356</v>
      </c>
    </row>
    <row r="538" spans="1:11" x14ac:dyDescent="0.25">
      <c r="A538" s="1">
        <v>45625</v>
      </c>
      <c r="B538" t="s">
        <v>16</v>
      </c>
      <c r="C538" t="s">
        <v>15</v>
      </c>
      <c r="D538">
        <v>45279</v>
      </c>
      <c r="E538">
        <v>504</v>
      </c>
      <c r="F538">
        <v>22820616</v>
      </c>
      <c r="G538">
        <v>439</v>
      </c>
      <c r="H538">
        <v>2943135</v>
      </c>
      <c r="I538" t="s">
        <v>13</v>
      </c>
      <c r="J538">
        <v>445317</v>
      </c>
      <c r="K538">
        <v>400038</v>
      </c>
    </row>
    <row r="539" spans="1:11" x14ac:dyDescent="0.25">
      <c r="A539" s="1">
        <v>45625</v>
      </c>
      <c r="B539" t="s">
        <v>18</v>
      </c>
      <c r="C539" t="s">
        <v>12</v>
      </c>
      <c r="D539">
        <v>39715</v>
      </c>
      <c r="E539">
        <v>638</v>
      </c>
      <c r="F539">
        <v>25338170</v>
      </c>
      <c r="G539">
        <v>559</v>
      </c>
      <c r="H539">
        <v>3137485</v>
      </c>
      <c r="I539" t="s">
        <v>17</v>
      </c>
      <c r="J539">
        <v>464983</v>
      </c>
      <c r="K539">
        <v>425268</v>
      </c>
    </row>
    <row r="540" spans="1:11" x14ac:dyDescent="0.25">
      <c r="A540" s="1">
        <v>45625</v>
      </c>
      <c r="B540" t="s">
        <v>18</v>
      </c>
      <c r="C540" t="s">
        <v>14</v>
      </c>
      <c r="D540">
        <v>63619</v>
      </c>
      <c r="E540">
        <v>819</v>
      </c>
      <c r="F540">
        <v>52103961</v>
      </c>
      <c r="G540">
        <v>749</v>
      </c>
      <c r="H540">
        <v>4453330</v>
      </c>
      <c r="I540" t="s">
        <v>13</v>
      </c>
      <c r="J540">
        <v>217069</v>
      </c>
      <c r="K540">
        <v>153450</v>
      </c>
    </row>
    <row r="541" spans="1:11" x14ac:dyDescent="0.25">
      <c r="A541" s="1">
        <v>45625</v>
      </c>
      <c r="B541" t="s">
        <v>18</v>
      </c>
      <c r="C541" t="s">
        <v>15</v>
      </c>
      <c r="D541">
        <v>27531</v>
      </c>
      <c r="E541">
        <v>559</v>
      </c>
      <c r="F541">
        <v>15389829</v>
      </c>
      <c r="G541">
        <v>499</v>
      </c>
      <c r="H541">
        <v>1651860</v>
      </c>
      <c r="I541" t="s">
        <v>13</v>
      </c>
      <c r="J541">
        <v>267155</v>
      </c>
      <c r="K541">
        <v>239624</v>
      </c>
    </row>
    <row r="542" spans="1:11" x14ac:dyDescent="0.25">
      <c r="A542" s="1">
        <v>45626</v>
      </c>
      <c r="B542" t="s">
        <v>11</v>
      </c>
      <c r="C542" t="s">
        <v>12</v>
      </c>
      <c r="D542">
        <v>82424</v>
      </c>
      <c r="E542">
        <v>635</v>
      </c>
      <c r="F542">
        <v>52339240</v>
      </c>
      <c r="G542">
        <v>585</v>
      </c>
      <c r="H542">
        <v>4121200</v>
      </c>
      <c r="I542" t="s">
        <v>13</v>
      </c>
      <c r="J542">
        <v>332503</v>
      </c>
      <c r="K542">
        <v>250079</v>
      </c>
    </row>
    <row r="543" spans="1:11" x14ac:dyDescent="0.25">
      <c r="A543" s="1">
        <v>45626</v>
      </c>
      <c r="B543" t="s">
        <v>11</v>
      </c>
      <c r="C543" t="s">
        <v>14</v>
      </c>
      <c r="D543">
        <v>57481</v>
      </c>
      <c r="E543">
        <v>835</v>
      </c>
      <c r="F543">
        <v>47996635</v>
      </c>
      <c r="G543">
        <v>778</v>
      </c>
      <c r="H543">
        <v>3276417</v>
      </c>
      <c r="I543" t="s">
        <v>17</v>
      </c>
      <c r="J543">
        <v>331234</v>
      </c>
      <c r="K543">
        <v>273753</v>
      </c>
    </row>
    <row r="544" spans="1:11" x14ac:dyDescent="0.25">
      <c r="A544" s="1">
        <v>45626</v>
      </c>
      <c r="B544" t="s">
        <v>11</v>
      </c>
      <c r="C544" t="s">
        <v>15</v>
      </c>
      <c r="D544">
        <v>39675</v>
      </c>
      <c r="E544">
        <v>513</v>
      </c>
      <c r="F544">
        <v>20353275</v>
      </c>
      <c r="G544">
        <v>474</v>
      </c>
      <c r="H544">
        <v>1547325</v>
      </c>
      <c r="I544" t="s">
        <v>13</v>
      </c>
      <c r="J544">
        <v>431390</v>
      </c>
      <c r="K544">
        <v>391715</v>
      </c>
    </row>
    <row r="545" spans="1:11" x14ac:dyDescent="0.25">
      <c r="A545" s="1">
        <v>45626</v>
      </c>
      <c r="B545" t="s">
        <v>16</v>
      </c>
      <c r="C545" t="s">
        <v>12</v>
      </c>
      <c r="D545">
        <v>27896</v>
      </c>
      <c r="E545">
        <v>676</v>
      </c>
      <c r="F545">
        <v>18857696</v>
      </c>
      <c r="G545">
        <v>641</v>
      </c>
      <c r="H545">
        <v>976360</v>
      </c>
      <c r="I545" t="s">
        <v>17</v>
      </c>
      <c r="J545">
        <v>451435</v>
      </c>
      <c r="K545">
        <v>423539</v>
      </c>
    </row>
    <row r="546" spans="1:11" x14ac:dyDescent="0.25">
      <c r="A546" s="1">
        <v>45626</v>
      </c>
      <c r="B546" t="s">
        <v>16</v>
      </c>
      <c r="C546" t="s">
        <v>14</v>
      </c>
      <c r="D546">
        <v>25347</v>
      </c>
      <c r="E546">
        <v>856</v>
      </c>
      <c r="F546">
        <v>21697032</v>
      </c>
      <c r="G546">
        <v>807</v>
      </c>
      <c r="H546">
        <v>1242003</v>
      </c>
      <c r="I546" t="s">
        <v>17</v>
      </c>
      <c r="J546">
        <v>480825</v>
      </c>
      <c r="K546">
        <v>455478</v>
      </c>
    </row>
    <row r="547" spans="1:11" x14ac:dyDescent="0.25">
      <c r="A547" s="1">
        <v>45626</v>
      </c>
      <c r="B547" t="s">
        <v>16</v>
      </c>
      <c r="C547" t="s">
        <v>15</v>
      </c>
      <c r="D547">
        <v>35892</v>
      </c>
      <c r="E547">
        <v>567</v>
      </c>
      <c r="F547">
        <v>20350764</v>
      </c>
      <c r="G547">
        <v>488</v>
      </c>
      <c r="H547">
        <v>2835468</v>
      </c>
      <c r="I547" t="s">
        <v>17</v>
      </c>
      <c r="J547">
        <v>230682</v>
      </c>
      <c r="K547">
        <v>194790</v>
      </c>
    </row>
    <row r="548" spans="1:11" x14ac:dyDescent="0.25">
      <c r="A548" s="1">
        <v>45626</v>
      </c>
      <c r="B548" t="s">
        <v>18</v>
      </c>
      <c r="C548" t="s">
        <v>12</v>
      </c>
      <c r="D548">
        <v>34289</v>
      </c>
      <c r="E548">
        <v>631</v>
      </c>
      <c r="F548">
        <v>21636359</v>
      </c>
      <c r="G548">
        <v>591</v>
      </c>
      <c r="H548">
        <v>1371560</v>
      </c>
      <c r="I548" t="s">
        <v>13</v>
      </c>
      <c r="J548">
        <v>266707</v>
      </c>
      <c r="K548">
        <v>232418</v>
      </c>
    </row>
    <row r="549" spans="1:11" x14ac:dyDescent="0.25">
      <c r="A549" s="1">
        <v>45626</v>
      </c>
      <c r="B549" t="s">
        <v>18</v>
      </c>
      <c r="C549" t="s">
        <v>14</v>
      </c>
      <c r="D549">
        <v>85428</v>
      </c>
      <c r="E549">
        <v>869</v>
      </c>
      <c r="F549">
        <v>74236932</v>
      </c>
      <c r="G549">
        <v>826</v>
      </c>
      <c r="H549">
        <v>3673404</v>
      </c>
      <c r="I549" t="s">
        <v>13</v>
      </c>
      <c r="J549">
        <v>451924</v>
      </c>
      <c r="K549">
        <v>366496</v>
      </c>
    </row>
    <row r="550" spans="1:11" x14ac:dyDescent="0.25">
      <c r="A550" s="1">
        <v>45626</v>
      </c>
      <c r="B550" t="s">
        <v>18</v>
      </c>
      <c r="C550" t="s">
        <v>15</v>
      </c>
      <c r="D550">
        <v>48228</v>
      </c>
      <c r="E550">
        <v>502</v>
      </c>
      <c r="F550">
        <v>24210456</v>
      </c>
      <c r="G550">
        <v>450</v>
      </c>
      <c r="H550">
        <v>2507856</v>
      </c>
      <c r="I550" t="s">
        <v>13</v>
      </c>
      <c r="J550">
        <v>322788</v>
      </c>
      <c r="K550">
        <v>274560</v>
      </c>
    </row>
    <row r="551" spans="1:11" x14ac:dyDescent="0.25">
      <c r="A551" s="1">
        <v>45627</v>
      </c>
      <c r="B551" t="s">
        <v>11</v>
      </c>
      <c r="C551" t="s">
        <v>12</v>
      </c>
      <c r="D551">
        <v>46928</v>
      </c>
      <c r="E551">
        <v>618</v>
      </c>
      <c r="F551">
        <v>29001504</v>
      </c>
      <c r="G551">
        <v>564</v>
      </c>
      <c r="H551">
        <v>2534112</v>
      </c>
      <c r="I551" t="s">
        <v>13</v>
      </c>
      <c r="J551">
        <v>262292</v>
      </c>
      <c r="K551">
        <v>215364</v>
      </c>
    </row>
    <row r="552" spans="1:11" x14ac:dyDescent="0.25">
      <c r="A552" s="1">
        <v>45627</v>
      </c>
      <c r="B552" t="s">
        <v>11</v>
      </c>
      <c r="C552" t="s">
        <v>14</v>
      </c>
      <c r="D552">
        <v>62891</v>
      </c>
      <c r="E552">
        <v>866</v>
      </c>
      <c r="F552">
        <v>54463606</v>
      </c>
      <c r="G552">
        <v>833</v>
      </c>
      <c r="H552">
        <v>2075403</v>
      </c>
      <c r="I552" t="s">
        <v>13</v>
      </c>
      <c r="J552">
        <v>291006</v>
      </c>
      <c r="K552">
        <v>228115</v>
      </c>
    </row>
    <row r="553" spans="1:11" x14ac:dyDescent="0.25">
      <c r="A553" s="1">
        <v>45627</v>
      </c>
      <c r="B553" t="s">
        <v>11</v>
      </c>
      <c r="C553" t="s">
        <v>15</v>
      </c>
      <c r="D553">
        <v>35352</v>
      </c>
      <c r="E553">
        <v>570</v>
      </c>
      <c r="F553">
        <v>20150640</v>
      </c>
      <c r="G553">
        <v>519</v>
      </c>
      <c r="H553">
        <v>1802952</v>
      </c>
      <c r="I553" t="s">
        <v>17</v>
      </c>
      <c r="J553">
        <v>481590</v>
      </c>
      <c r="K553">
        <v>446238</v>
      </c>
    </row>
    <row r="554" spans="1:11" x14ac:dyDescent="0.25">
      <c r="A554" s="1">
        <v>45627</v>
      </c>
      <c r="B554" t="s">
        <v>16</v>
      </c>
      <c r="C554" t="s">
        <v>12</v>
      </c>
      <c r="D554">
        <v>82032</v>
      </c>
      <c r="E554">
        <v>623</v>
      </c>
      <c r="F554">
        <v>51105936</v>
      </c>
      <c r="G554">
        <v>560</v>
      </c>
      <c r="H554">
        <v>5168016</v>
      </c>
      <c r="I554" t="s">
        <v>13</v>
      </c>
      <c r="J554">
        <v>402779</v>
      </c>
      <c r="K554">
        <v>320747</v>
      </c>
    </row>
    <row r="555" spans="1:11" x14ac:dyDescent="0.25">
      <c r="A555" s="1">
        <v>45627</v>
      </c>
      <c r="B555" t="s">
        <v>16</v>
      </c>
      <c r="C555" t="s">
        <v>14</v>
      </c>
      <c r="D555">
        <v>38474</v>
      </c>
      <c r="E555">
        <v>835</v>
      </c>
      <c r="F555">
        <v>32125790</v>
      </c>
      <c r="G555">
        <v>757</v>
      </c>
      <c r="H555">
        <v>3000972</v>
      </c>
      <c r="I555" t="s">
        <v>13</v>
      </c>
      <c r="J555">
        <v>459013</v>
      </c>
      <c r="K555">
        <v>420539</v>
      </c>
    </row>
    <row r="556" spans="1:11" x14ac:dyDescent="0.25">
      <c r="A556" s="1">
        <v>45627</v>
      </c>
      <c r="B556" t="s">
        <v>16</v>
      </c>
      <c r="C556" t="s">
        <v>15</v>
      </c>
      <c r="D556">
        <v>89184</v>
      </c>
      <c r="E556">
        <v>573</v>
      </c>
      <c r="F556">
        <v>51102432</v>
      </c>
      <c r="G556">
        <v>523</v>
      </c>
      <c r="H556">
        <v>4459200</v>
      </c>
      <c r="I556" t="s">
        <v>13</v>
      </c>
      <c r="J556">
        <v>283457</v>
      </c>
      <c r="K556">
        <v>194273</v>
      </c>
    </row>
    <row r="557" spans="1:11" x14ac:dyDescent="0.25">
      <c r="A557" s="1">
        <v>45627</v>
      </c>
      <c r="B557" t="s">
        <v>18</v>
      </c>
      <c r="C557" t="s">
        <v>12</v>
      </c>
      <c r="D557">
        <v>88673</v>
      </c>
      <c r="E557">
        <v>673</v>
      </c>
      <c r="F557">
        <v>59676929</v>
      </c>
      <c r="G557">
        <v>610</v>
      </c>
      <c r="H557">
        <v>5586399</v>
      </c>
      <c r="I557" t="s">
        <v>13</v>
      </c>
      <c r="J557">
        <v>408015</v>
      </c>
      <c r="K557">
        <v>319342</v>
      </c>
    </row>
    <row r="558" spans="1:11" x14ac:dyDescent="0.25">
      <c r="A558" s="1">
        <v>45627</v>
      </c>
      <c r="B558" t="s">
        <v>18</v>
      </c>
      <c r="C558" t="s">
        <v>14</v>
      </c>
      <c r="D558">
        <v>32924</v>
      </c>
      <c r="E558">
        <v>835</v>
      </c>
      <c r="F558">
        <v>27491540</v>
      </c>
      <c r="G558">
        <v>794</v>
      </c>
      <c r="H558">
        <v>1349884</v>
      </c>
      <c r="I558" t="s">
        <v>17</v>
      </c>
      <c r="J558">
        <v>274071</v>
      </c>
      <c r="K558">
        <v>241147</v>
      </c>
    </row>
    <row r="559" spans="1:11" x14ac:dyDescent="0.25">
      <c r="A559" s="1">
        <v>45627</v>
      </c>
      <c r="B559" t="s">
        <v>18</v>
      </c>
      <c r="C559" t="s">
        <v>15</v>
      </c>
      <c r="D559">
        <v>50651</v>
      </c>
      <c r="E559">
        <v>558</v>
      </c>
      <c r="F559">
        <v>28263258</v>
      </c>
      <c r="G559">
        <v>519</v>
      </c>
      <c r="H559">
        <v>1975389</v>
      </c>
      <c r="I559" t="s">
        <v>13</v>
      </c>
      <c r="J559">
        <v>348066</v>
      </c>
      <c r="K559">
        <v>297415</v>
      </c>
    </row>
    <row r="560" spans="1:11" x14ac:dyDescent="0.25">
      <c r="A560" s="1">
        <v>45628</v>
      </c>
      <c r="B560" t="s">
        <v>11</v>
      </c>
      <c r="C560" t="s">
        <v>12</v>
      </c>
      <c r="D560">
        <v>79634</v>
      </c>
      <c r="E560">
        <v>662</v>
      </c>
      <c r="F560">
        <v>52717708</v>
      </c>
      <c r="G560">
        <v>584</v>
      </c>
      <c r="H560">
        <v>6211452</v>
      </c>
      <c r="I560" t="s">
        <v>13</v>
      </c>
      <c r="J560">
        <v>499967</v>
      </c>
      <c r="K560">
        <v>420333</v>
      </c>
    </row>
    <row r="561" spans="1:11" x14ac:dyDescent="0.25">
      <c r="A561" s="1">
        <v>45628</v>
      </c>
      <c r="B561" t="s">
        <v>11</v>
      </c>
      <c r="C561" t="s">
        <v>14</v>
      </c>
      <c r="D561">
        <v>83878</v>
      </c>
      <c r="E561">
        <v>770</v>
      </c>
      <c r="F561">
        <v>64586060</v>
      </c>
      <c r="G561">
        <v>721</v>
      </c>
      <c r="H561">
        <v>4110022</v>
      </c>
      <c r="I561" t="s">
        <v>17</v>
      </c>
      <c r="J561">
        <v>405977</v>
      </c>
      <c r="K561">
        <v>322099</v>
      </c>
    </row>
    <row r="562" spans="1:11" x14ac:dyDescent="0.25">
      <c r="A562" s="1">
        <v>45628</v>
      </c>
      <c r="B562" t="s">
        <v>11</v>
      </c>
      <c r="C562" t="s">
        <v>15</v>
      </c>
      <c r="D562">
        <v>29283</v>
      </c>
      <c r="E562">
        <v>585</v>
      </c>
      <c r="F562">
        <v>17130555</v>
      </c>
      <c r="G562">
        <v>541</v>
      </c>
      <c r="H562">
        <v>1288452</v>
      </c>
      <c r="I562" t="s">
        <v>13</v>
      </c>
      <c r="J562">
        <v>403127</v>
      </c>
      <c r="K562">
        <v>373844</v>
      </c>
    </row>
    <row r="563" spans="1:11" x14ac:dyDescent="0.25">
      <c r="A563" s="1">
        <v>45628</v>
      </c>
      <c r="B563" t="s">
        <v>16</v>
      </c>
      <c r="C563" t="s">
        <v>12</v>
      </c>
      <c r="D563">
        <v>38133</v>
      </c>
      <c r="E563">
        <v>691</v>
      </c>
      <c r="F563">
        <v>26349903</v>
      </c>
      <c r="G563">
        <v>648</v>
      </c>
      <c r="H563">
        <v>1639719</v>
      </c>
      <c r="I563" t="s">
        <v>17</v>
      </c>
      <c r="J563">
        <v>314586</v>
      </c>
      <c r="K563">
        <v>276453</v>
      </c>
    </row>
    <row r="564" spans="1:11" x14ac:dyDescent="0.25">
      <c r="A564" s="1">
        <v>45628</v>
      </c>
      <c r="B564" t="s">
        <v>16</v>
      </c>
      <c r="C564" t="s">
        <v>14</v>
      </c>
      <c r="D564">
        <v>47624</v>
      </c>
      <c r="E564">
        <v>807</v>
      </c>
      <c r="F564">
        <v>38432568</v>
      </c>
      <c r="G564">
        <v>750</v>
      </c>
      <c r="H564">
        <v>2714568</v>
      </c>
      <c r="I564" t="s">
        <v>17</v>
      </c>
      <c r="J564">
        <v>371033</v>
      </c>
      <c r="K564">
        <v>323409</v>
      </c>
    </row>
    <row r="565" spans="1:11" x14ac:dyDescent="0.25">
      <c r="A565" s="1">
        <v>45628</v>
      </c>
      <c r="B565" t="s">
        <v>16</v>
      </c>
      <c r="C565" t="s">
        <v>15</v>
      </c>
      <c r="D565">
        <v>49118</v>
      </c>
      <c r="E565">
        <v>565</v>
      </c>
      <c r="F565">
        <v>27751670</v>
      </c>
      <c r="G565">
        <v>511</v>
      </c>
      <c r="H565">
        <v>2652372</v>
      </c>
      <c r="I565" t="s">
        <v>13</v>
      </c>
      <c r="J565">
        <v>353335</v>
      </c>
      <c r="K565">
        <v>304217</v>
      </c>
    </row>
    <row r="566" spans="1:11" x14ac:dyDescent="0.25">
      <c r="A566" s="1">
        <v>45628</v>
      </c>
      <c r="B566" t="s">
        <v>18</v>
      </c>
      <c r="C566" t="s">
        <v>12</v>
      </c>
      <c r="D566">
        <v>40354</v>
      </c>
      <c r="E566">
        <v>671</v>
      </c>
      <c r="F566">
        <v>27077534</v>
      </c>
      <c r="G566">
        <v>598</v>
      </c>
      <c r="H566">
        <v>2945842</v>
      </c>
      <c r="I566" t="s">
        <v>13</v>
      </c>
      <c r="J566">
        <v>223648</v>
      </c>
      <c r="K566">
        <v>183294</v>
      </c>
    </row>
    <row r="567" spans="1:11" x14ac:dyDescent="0.25">
      <c r="A567" s="1">
        <v>45628</v>
      </c>
      <c r="B567" t="s">
        <v>18</v>
      </c>
      <c r="C567" t="s">
        <v>14</v>
      </c>
      <c r="D567">
        <v>61971</v>
      </c>
      <c r="E567">
        <v>755</v>
      </c>
      <c r="F567">
        <v>46788105</v>
      </c>
      <c r="G567">
        <v>687</v>
      </c>
      <c r="H567">
        <v>4214028</v>
      </c>
      <c r="I567" t="s">
        <v>17</v>
      </c>
      <c r="J567">
        <v>379635</v>
      </c>
      <c r="K567">
        <v>317664</v>
      </c>
    </row>
    <row r="568" spans="1:11" x14ac:dyDescent="0.25">
      <c r="A568" s="1">
        <v>45628</v>
      </c>
      <c r="B568" t="s">
        <v>18</v>
      </c>
      <c r="C568" t="s">
        <v>15</v>
      </c>
      <c r="D568">
        <v>71578</v>
      </c>
      <c r="E568">
        <v>549</v>
      </c>
      <c r="F568">
        <v>39296322</v>
      </c>
      <c r="G568">
        <v>477</v>
      </c>
      <c r="H568">
        <v>5153616</v>
      </c>
      <c r="I568" t="s">
        <v>17</v>
      </c>
      <c r="J568">
        <v>337924</v>
      </c>
      <c r="K568">
        <v>266346</v>
      </c>
    </row>
    <row r="569" spans="1:11" x14ac:dyDescent="0.25">
      <c r="A569" s="1">
        <v>45629</v>
      </c>
      <c r="B569" t="s">
        <v>11</v>
      </c>
      <c r="C569" t="s">
        <v>12</v>
      </c>
      <c r="D569">
        <v>22551</v>
      </c>
      <c r="E569">
        <v>611</v>
      </c>
      <c r="F569">
        <v>13778661</v>
      </c>
      <c r="G569">
        <v>572</v>
      </c>
      <c r="H569">
        <v>879489</v>
      </c>
      <c r="I569" t="s">
        <v>13</v>
      </c>
      <c r="J569">
        <v>380231</v>
      </c>
      <c r="K569">
        <v>357680</v>
      </c>
    </row>
    <row r="570" spans="1:11" x14ac:dyDescent="0.25">
      <c r="A570" s="1">
        <v>45629</v>
      </c>
      <c r="B570" t="s">
        <v>11</v>
      </c>
      <c r="C570" t="s">
        <v>14</v>
      </c>
      <c r="D570">
        <v>71707</v>
      </c>
      <c r="E570">
        <v>790</v>
      </c>
      <c r="F570">
        <v>56648530</v>
      </c>
      <c r="G570">
        <v>725</v>
      </c>
      <c r="H570">
        <v>4660955</v>
      </c>
      <c r="I570" t="s">
        <v>13</v>
      </c>
      <c r="J570">
        <v>461716</v>
      </c>
      <c r="K570">
        <v>390009</v>
      </c>
    </row>
    <row r="571" spans="1:11" x14ac:dyDescent="0.25">
      <c r="A571" s="1">
        <v>45629</v>
      </c>
      <c r="B571" t="s">
        <v>11</v>
      </c>
      <c r="C571" t="s">
        <v>15</v>
      </c>
      <c r="D571">
        <v>26710</v>
      </c>
      <c r="E571">
        <v>508</v>
      </c>
      <c r="F571">
        <v>13568680</v>
      </c>
      <c r="G571">
        <v>432</v>
      </c>
      <c r="H571">
        <v>2029960</v>
      </c>
      <c r="I571" t="s">
        <v>13</v>
      </c>
      <c r="J571">
        <v>371918</v>
      </c>
      <c r="K571">
        <v>345208</v>
      </c>
    </row>
    <row r="572" spans="1:11" x14ac:dyDescent="0.25">
      <c r="A572" s="1">
        <v>45629</v>
      </c>
      <c r="B572" t="s">
        <v>16</v>
      </c>
      <c r="C572" t="s">
        <v>12</v>
      </c>
      <c r="D572">
        <v>87821</v>
      </c>
      <c r="E572">
        <v>681</v>
      </c>
      <c r="F572">
        <v>59806101</v>
      </c>
      <c r="G572">
        <v>610</v>
      </c>
      <c r="H572">
        <v>6235291</v>
      </c>
      <c r="I572" t="s">
        <v>13</v>
      </c>
      <c r="J572">
        <v>408139</v>
      </c>
      <c r="K572">
        <v>320318</v>
      </c>
    </row>
    <row r="573" spans="1:11" x14ac:dyDescent="0.25">
      <c r="A573" s="1">
        <v>45629</v>
      </c>
      <c r="B573" t="s">
        <v>16</v>
      </c>
      <c r="C573" t="s">
        <v>14</v>
      </c>
      <c r="D573">
        <v>57711</v>
      </c>
      <c r="E573">
        <v>880</v>
      </c>
      <c r="F573">
        <v>50785680</v>
      </c>
      <c r="G573">
        <v>806</v>
      </c>
      <c r="H573">
        <v>4270614</v>
      </c>
      <c r="I573" t="s">
        <v>17</v>
      </c>
      <c r="J573">
        <v>265794</v>
      </c>
      <c r="K573">
        <v>208083</v>
      </c>
    </row>
    <row r="574" spans="1:11" x14ac:dyDescent="0.25">
      <c r="A574" s="1">
        <v>45629</v>
      </c>
      <c r="B574" t="s">
        <v>16</v>
      </c>
      <c r="C574" t="s">
        <v>15</v>
      </c>
      <c r="D574">
        <v>21898</v>
      </c>
      <c r="E574">
        <v>539</v>
      </c>
      <c r="F574">
        <v>11803022</v>
      </c>
      <c r="G574">
        <v>472</v>
      </c>
      <c r="H574">
        <v>1467166</v>
      </c>
      <c r="I574" t="s">
        <v>13</v>
      </c>
      <c r="J574">
        <v>450870</v>
      </c>
      <c r="K574">
        <v>428972</v>
      </c>
    </row>
    <row r="575" spans="1:11" x14ac:dyDescent="0.25">
      <c r="A575" s="1">
        <v>45629</v>
      </c>
      <c r="B575" t="s">
        <v>18</v>
      </c>
      <c r="C575" t="s">
        <v>12</v>
      </c>
      <c r="D575">
        <v>85031</v>
      </c>
      <c r="E575">
        <v>631</v>
      </c>
      <c r="F575">
        <v>53654561</v>
      </c>
      <c r="G575">
        <v>554</v>
      </c>
      <c r="H575">
        <v>6547387</v>
      </c>
      <c r="I575" t="s">
        <v>17</v>
      </c>
      <c r="J575">
        <v>220074</v>
      </c>
      <c r="K575">
        <v>135043</v>
      </c>
    </row>
    <row r="576" spans="1:11" x14ac:dyDescent="0.25">
      <c r="A576" s="1">
        <v>45629</v>
      </c>
      <c r="B576" t="s">
        <v>18</v>
      </c>
      <c r="C576" t="s">
        <v>14</v>
      </c>
      <c r="D576">
        <v>87843</v>
      </c>
      <c r="E576">
        <v>859</v>
      </c>
      <c r="F576">
        <v>75457137</v>
      </c>
      <c r="G576">
        <v>811</v>
      </c>
      <c r="H576">
        <v>4216464</v>
      </c>
      <c r="I576" t="s">
        <v>17</v>
      </c>
      <c r="J576">
        <v>262987</v>
      </c>
      <c r="K576">
        <v>175144</v>
      </c>
    </row>
    <row r="577" spans="1:11" x14ac:dyDescent="0.25">
      <c r="A577" s="1">
        <v>45629</v>
      </c>
      <c r="B577" t="s">
        <v>18</v>
      </c>
      <c r="C577" t="s">
        <v>15</v>
      </c>
      <c r="D577">
        <v>74400</v>
      </c>
      <c r="E577">
        <v>562</v>
      </c>
      <c r="F577">
        <v>41812800</v>
      </c>
      <c r="G577">
        <v>488</v>
      </c>
      <c r="H577">
        <v>5505600</v>
      </c>
      <c r="I577" t="s">
        <v>13</v>
      </c>
      <c r="J577">
        <v>319052</v>
      </c>
      <c r="K577">
        <v>244652</v>
      </c>
    </row>
    <row r="578" spans="1:11" x14ac:dyDescent="0.25">
      <c r="A578" s="1">
        <v>45630</v>
      </c>
      <c r="B578" t="s">
        <v>11</v>
      </c>
      <c r="C578" t="s">
        <v>12</v>
      </c>
      <c r="D578">
        <v>21283</v>
      </c>
      <c r="E578">
        <v>627</v>
      </c>
      <c r="F578">
        <v>13344441</v>
      </c>
      <c r="G578">
        <v>560</v>
      </c>
      <c r="H578">
        <v>1425961</v>
      </c>
      <c r="I578" t="s">
        <v>17</v>
      </c>
      <c r="J578">
        <v>398137</v>
      </c>
      <c r="K578">
        <v>376854</v>
      </c>
    </row>
    <row r="579" spans="1:11" x14ac:dyDescent="0.25">
      <c r="A579" s="1">
        <v>45630</v>
      </c>
      <c r="B579" t="s">
        <v>11</v>
      </c>
      <c r="C579" t="s">
        <v>14</v>
      </c>
      <c r="D579">
        <v>46170</v>
      </c>
      <c r="E579">
        <v>877</v>
      </c>
      <c r="F579">
        <v>40491090</v>
      </c>
      <c r="G579">
        <v>821</v>
      </c>
      <c r="H579">
        <v>2585520</v>
      </c>
      <c r="I579" t="s">
        <v>17</v>
      </c>
      <c r="J579">
        <v>471896</v>
      </c>
      <c r="K579">
        <v>425726</v>
      </c>
    </row>
    <row r="580" spans="1:11" x14ac:dyDescent="0.25">
      <c r="A580" s="1">
        <v>45630</v>
      </c>
      <c r="B580" t="s">
        <v>11</v>
      </c>
      <c r="C580" t="s">
        <v>15</v>
      </c>
      <c r="D580">
        <v>46819</v>
      </c>
      <c r="E580">
        <v>524</v>
      </c>
      <c r="F580">
        <v>24533156</v>
      </c>
      <c r="G580">
        <v>475</v>
      </c>
      <c r="H580">
        <v>2294131</v>
      </c>
      <c r="I580" t="s">
        <v>13</v>
      </c>
      <c r="J580">
        <v>355289</v>
      </c>
      <c r="K580">
        <v>308470</v>
      </c>
    </row>
    <row r="581" spans="1:11" x14ac:dyDescent="0.25">
      <c r="A581" s="1">
        <v>45630</v>
      </c>
      <c r="B581" t="s">
        <v>16</v>
      </c>
      <c r="C581" t="s">
        <v>12</v>
      </c>
      <c r="D581">
        <v>52994</v>
      </c>
      <c r="E581">
        <v>660</v>
      </c>
      <c r="F581">
        <v>34976040</v>
      </c>
      <c r="G581">
        <v>603</v>
      </c>
      <c r="H581">
        <v>3020658</v>
      </c>
      <c r="I581" t="s">
        <v>17</v>
      </c>
      <c r="J581">
        <v>297756</v>
      </c>
      <c r="K581">
        <v>244762</v>
      </c>
    </row>
    <row r="582" spans="1:11" x14ac:dyDescent="0.25">
      <c r="A582" s="1">
        <v>45630</v>
      </c>
      <c r="B582" t="s">
        <v>16</v>
      </c>
      <c r="C582" t="s">
        <v>14</v>
      </c>
      <c r="D582">
        <v>29587</v>
      </c>
      <c r="E582">
        <v>883</v>
      </c>
      <c r="F582">
        <v>26125321</v>
      </c>
      <c r="G582">
        <v>835</v>
      </c>
      <c r="H582">
        <v>1420176</v>
      </c>
      <c r="I582" t="s">
        <v>13</v>
      </c>
      <c r="J582">
        <v>461691</v>
      </c>
      <c r="K582">
        <v>432104</v>
      </c>
    </row>
    <row r="583" spans="1:11" x14ac:dyDescent="0.25">
      <c r="A583" s="1">
        <v>45630</v>
      </c>
      <c r="B583" t="s">
        <v>16</v>
      </c>
      <c r="C583" t="s">
        <v>15</v>
      </c>
      <c r="D583">
        <v>50090</v>
      </c>
      <c r="E583">
        <v>565</v>
      </c>
      <c r="F583">
        <v>28300850</v>
      </c>
      <c r="G583">
        <v>489</v>
      </c>
      <c r="H583">
        <v>3806840</v>
      </c>
      <c r="I583" t="s">
        <v>13</v>
      </c>
      <c r="J583">
        <v>443051</v>
      </c>
      <c r="K583">
        <v>392961</v>
      </c>
    </row>
    <row r="584" spans="1:11" x14ac:dyDescent="0.25">
      <c r="A584" s="1">
        <v>45630</v>
      </c>
      <c r="B584" t="s">
        <v>18</v>
      </c>
      <c r="C584" t="s">
        <v>12</v>
      </c>
      <c r="D584">
        <v>38888</v>
      </c>
      <c r="E584">
        <v>684</v>
      </c>
      <c r="F584">
        <v>26599392</v>
      </c>
      <c r="G584">
        <v>631</v>
      </c>
      <c r="H584">
        <v>2061064</v>
      </c>
      <c r="I584" t="s">
        <v>17</v>
      </c>
      <c r="J584">
        <v>377109</v>
      </c>
      <c r="K584">
        <v>338221</v>
      </c>
    </row>
    <row r="585" spans="1:11" x14ac:dyDescent="0.25">
      <c r="A585" s="1">
        <v>45630</v>
      </c>
      <c r="B585" t="s">
        <v>18</v>
      </c>
      <c r="C585" t="s">
        <v>14</v>
      </c>
      <c r="D585">
        <v>20587</v>
      </c>
      <c r="E585">
        <v>779</v>
      </c>
      <c r="F585">
        <v>16037273</v>
      </c>
      <c r="G585">
        <v>724</v>
      </c>
      <c r="H585">
        <v>1132285</v>
      </c>
      <c r="I585" t="s">
        <v>13</v>
      </c>
      <c r="J585">
        <v>320987</v>
      </c>
      <c r="K585">
        <v>300400</v>
      </c>
    </row>
    <row r="586" spans="1:11" x14ac:dyDescent="0.25">
      <c r="A586" s="1">
        <v>45630</v>
      </c>
      <c r="B586" t="s">
        <v>18</v>
      </c>
      <c r="C586" t="s">
        <v>15</v>
      </c>
      <c r="D586">
        <v>45556</v>
      </c>
      <c r="E586">
        <v>534</v>
      </c>
      <c r="F586">
        <v>24326904</v>
      </c>
      <c r="G586">
        <v>471</v>
      </c>
      <c r="H586">
        <v>2870028</v>
      </c>
      <c r="I586" t="s">
        <v>17</v>
      </c>
      <c r="J586">
        <v>376168</v>
      </c>
      <c r="K586">
        <v>330612</v>
      </c>
    </row>
    <row r="587" spans="1:11" x14ac:dyDescent="0.25">
      <c r="A587" s="1">
        <v>45631</v>
      </c>
      <c r="B587" t="s">
        <v>11</v>
      </c>
      <c r="C587" t="s">
        <v>12</v>
      </c>
      <c r="D587">
        <v>33230</v>
      </c>
      <c r="E587">
        <v>681</v>
      </c>
      <c r="F587">
        <v>22629630</v>
      </c>
      <c r="G587">
        <v>641</v>
      </c>
      <c r="H587">
        <v>1329200</v>
      </c>
      <c r="I587" t="s">
        <v>17</v>
      </c>
      <c r="J587">
        <v>305400</v>
      </c>
      <c r="K587">
        <v>272170</v>
      </c>
    </row>
    <row r="588" spans="1:11" x14ac:dyDescent="0.25">
      <c r="A588" s="1">
        <v>45631</v>
      </c>
      <c r="B588" t="s">
        <v>11</v>
      </c>
      <c r="C588" t="s">
        <v>14</v>
      </c>
      <c r="D588">
        <v>61855</v>
      </c>
      <c r="E588">
        <v>899</v>
      </c>
      <c r="F588">
        <v>55607645</v>
      </c>
      <c r="G588">
        <v>853</v>
      </c>
      <c r="H588">
        <v>2845330</v>
      </c>
      <c r="I588" t="s">
        <v>13</v>
      </c>
      <c r="J588">
        <v>272516</v>
      </c>
      <c r="K588">
        <v>210661</v>
      </c>
    </row>
    <row r="589" spans="1:11" x14ac:dyDescent="0.25">
      <c r="A589" s="1">
        <v>45631</v>
      </c>
      <c r="B589" t="s">
        <v>11</v>
      </c>
      <c r="C589" t="s">
        <v>15</v>
      </c>
      <c r="D589">
        <v>38058</v>
      </c>
      <c r="E589">
        <v>593</v>
      </c>
      <c r="F589">
        <v>22568394</v>
      </c>
      <c r="G589">
        <v>549</v>
      </c>
      <c r="H589">
        <v>1674552</v>
      </c>
      <c r="I589" t="s">
        <v>17</v>
      </c>
      <c r="J589">
        <v>494746</v>
      </c>
      <c r="K589">
        <v>456688</v>
      </c>
    </row>
    <row r="590" spans="1:11" x14ac:dyDescent="0.25">
      <c r="A590" s="1">
        <v>45631</v>
      </c>
      <c r="B590" t="s">
        <v>16</v>
      </c>
      <c r="C590" t="s">
        <v>12</v>
      </c>
      <c r="D590">
        <v>78067</v>
      </c>
      <c r="E590">
        <v>615</v>
      </c>
      <c r="F590">
        <v>48011205</v>
      </c>
      <c r="G590">
        <v>552</v>
      </c>
      <c r="H590">
        <v>4918221</v>
      </c>
      <c r="I590" t="s">
        <v>17</v>
      </c>
      <c r="J590">
        <v>332161</v>
      </c>
      <c r="K590">
        <v>254094</v>
      </c>
    </row>
    <row r="591" spans="1:11" x14ac:dyDescent="0.25">
      <c r="A591" s="1">
        <v>45631</v>
      </c>
      <c r="B591" t="s">
        <v>16</v>
      </c>
      <c r="C591" t="s">
        <v>14</v>
      </c>
      <c r="D591">
        <v>30487</v>
      </c>
      <c r="E591">
        <v>796</v>
      </c>
      <c r="F591">
        <v>24267652</v>
      </c>
      <c r="G591">
        <v>728</v>
      </c>
      <c r="H591">
        <v>2073116</v>
      </c>
      <c r="I591" t="s">
        <v>17</v>
      </c>
      <c r="J591">
        <v>276229</v>
      </c>
      <c r="K591">
        <v>245742</v>
      </c>
    </row>
    <row r="592" spans="1:11" x14ac:dyDescent="0.25">
      <c r="A592" s="1">
        <v>45631</v>
      </c>
      <c r="B592" t="s">
        <v>16</v>
      </c>
      <c r="C592" t="s">
        <v>15</v>
      </c>
      <c r="D592">
        <v>58547</v>
      </c>
      <c r="E592">
        <v>500</v>
      </c>
      <c r="F592">
        <v>29273500</v>
      </c>
      <c r="G592">
        <v>463</v>
      </c>
      <c r="H592">
        <v>2166239</v>
      </c>
      <c r="I592" t="s">
        <v>17</v>
      </c>
      <c r="J592">
        <v>367670</v>
      </c>
      <c r="K592">
        <v>309123</v>
      </c>
    </row>
    <row r="593" spans="1:11" x14ac:dyDescent="0.25">
      <c r="A593" s="1">
        <v>45631</v>
      </c>
      <c r="B593" t="s">
        <v>18</v>
      </c>
      <c r="C593" t="s">
        <v>12</v>
      </c>
      <c r="D593">
        <v>83278</v>
      </c>
      <c r="E593">
        <v>637</v>
      </c>
      <c r="F593">
        <v>53048086</v>
      </c>
      <c r="G593">
        <v>593</v>
      </c>
      <c r="H593">
        <v>3664232</v>
      </c>
      <c r="I593" t="s">
        <v>17</v>
      </c>
      <c r="J593">
        <v>302932</v>
      </c>
      <c r="K593">
        <v>219654</v>
      </c>
    </row>
    <row r="594" spans="1:11" x14ac:dyDescent="0.25">
      <c r="A594" s="1">
        <v>45631</v>
      </c>
      <c r="B594" t="s">
        <v>18</v>
      </c>
      <c r="C594" t="s">
        <v>14</v>
      </c>
      <c r="D594">
        <v>29528</v>
      </c>
      <c r="E594">
        <v>866</v>
      </c>
      <c r="F594">
        <v>25571248</v>
      </c>
      <c r="G594">
        <v>791</v>
      </c>
      <c r="H594">
        <v>2214600</v>
      </c>
      <c r="I594" t="s">
        <v>13</v>
      </c>
      <c r="J594">
        <v>386339</v>
      </c>
      <c r="K594">
        <v>356811</v>
      </c>
    </row>
    <row r="595" spans="1:11" x14ac:dyDescent="0.25">
      <c r="A595" s="1">
        <v>45631</v>
      </c>
      <c r="B595" t="s">
        <v>18</v>
      </c>
      <c r="C595" t="s">
        <v>15</v>
      </c>
      <c r="D595">
        <v>43952</v>
      </c>
      <c r="E595">
        <v>538</v>
      </c>
      <c r="F595">
        <v>23646176</v>
      </c>
      <c r="G595">
        <v>500</v>
      </c>
      <c r="H595">
        <v>1670176</v>
      </c>
      <c r="I595" t="s">
        <v>17</v>
      </c>
      <c r="J595">
        <v>250939</v>
      </c>
      <c r="K595">
        <v>206987</v>
      </c>
    </row>
    <row r="596" spans="1:11" x14ac:dyDescent="0.25">
      <c r="A596" s="1">
        <v>45632</v>
      </c>
      <c r="B596" t="s">
        <v>11</v>
      </c>
      <c r="C596" t="s">
        <v>12</v>
      </c>
      <c r="D596">
        <v>76526</v>
      </c>
      <c r="E596">
        <v>681</v>
      </c>
      <c r="F596">
        <v>52114206</v>
      </c>
      <c r="G596">
        <v>619</v>
      </c>
      <c r="H596">
        <v>4744612</v>
      </c>
      <c r="I596" t="s">
        <v>17</v>
      </c>
      <c r="J596">
        <v>484890</v>
      </c>
      <c r="K596">
        <v>408364</v>
      </c>
    </row>
    <row r="597" spans="1:11" x14ac:dyDescent="0.25">
      <c r="A597" s="1">
        <v>45632</v>
      </c>
      <c r="B597" t="s">
        <v>11</v>
      </c>
      <c r="C597" t="s">
        <v>14</v>
      </c>
      <c r="D597">
        <v>78810</v>
      </c>
      <c r="E597">
        <v>840</v>
      </c>
      <c r="F597">
        <v>66200400</v>
      </c>
      <c r="G597">
        <v>777</v>
      </c>
      <c r="H597">
        <v>4965030</v>
      </c>
      <c r="I597" t="s">
        <v>13</v>
      </c>
      <c r="J597">
        <v>346295</v>
      </c>
      <c r="K597">
        <v>267485</v>
      </c>
    </row>
    <row r="598" spans="1:11" x14ac:dyDescent="0.25">
      <c r="A598" s="1">
        <v>45632</v>
      </c>
      <c r="B598" t="s">
        <v>11</v>
      </c>
      <c r="C598" t="s">
        <v>15</v>
      </c>
      <c r="D598">
        <v>22597</v>
      </c>
      <c r="E598">
        <v>513</v>
      </c>
      <c r="F598">
        <v>11592261</v>
      </c>
      <c r="G598">
        <v>448</v>
      </c>
      <c r="H598">
        <v>1468805</v>
      </c>
      <c r="I598" t="s">
        <v>13</v>
      </c>
      <c r="J598">
        <v>286516</v>
      </c>
      <c r="K598">
        <v>263919</v>
      </c>
    </row>
    <row r="599" spans="1:11" x14ac:dyDescent="0.25">
      <c r="A599" s="1">
        <v>45632</v>
      </c>
      <c r="B599" t="s">
        <v>16</v>
      </c>
      <c r="C599" t="s">
        <v>12</v>
      </c>
      <c r="D599">
        <v>35037</v>
      </c>
      <c r="E599">
        <v>634</v>
      </c>
      <c r="F599">
        <v>22213458</v>
      </c>
      <c r="G599">
        <v>586</v>
      </c>
      <c r="H599">
        <v>1681776</v>
      </c>
      <c r="I599" t="s">
        <v>17</v>
      </c>
      <c r="J599">
        <v>212109</v>
      </c>
      <c r="K599">
        <v>177072</v>
      </c>
    </row>
    <row r="600" spans="1:11" x14ac:dyDescent="0.25">
      <c r="A600" s="1">
        <v>45632</v>
      </c>
      <c r="B600" t="s">
        <v>16</v>
      </c>
      <c r="C600" t="s">
        <v>14</v>
      </c>
      <c r="D600">
        <v>28787</v>
      </c>
      <c r="E600">
        <v>862</v>
      </c>
      <c r="F600">
        <v>24814394</v>
      </c>
      <c r="G600">
        <v>808</v>
      </c>
      <c r="H600">
        <v>1554498</v>
      </c>
      <c r="I600" t="s">
        <v>13</v>
      </c>
      <c r="J600">
        <v>446183</v>
      </c>
      <c r="K600">
        <v>417396</v>
      </c>
    </row>
    <row r="601" spans="1:11" x14ac:dyDescent="0.25">
      <c r="A601" s="1">
        <v>45632</v>
      </c>
      <c r="B601" t="s">
        <v>16</v>
      </c>
      <c r="C601" t="s">
        <v>15</v>
      </c>
      <c r="D601">
        <v>81709</v>
      </c>
      <c r="E601">
        <v>525</v>
      </c>
      <c r="F601">
        <v>42897225</v>
      </c>
      <c r="G601">
        <v>458</v>
      </c>
      <c r="H601">
        <v>5474503</v>
      </c>
      <c r="I601" t="s">
        <v>13</v>
      </c>
      <c r="J601">
        <v>234518</v>
      </c>
      <c r="K601">
        <v>152809</v>
      </c>
    </row>
    <row r="602" spans="1:11" x14ac:dyDescent="0.25">
      <c r="A602" s="1">
        <v>45632</v>
      </c>
      <c r="B602" t="s">
        <v>18</v>
      </c>
      <c r="C602" t="s">
        <v>12</v>
      </c>
      <c r="D602">
        <v>38351</v>
      </c>
      <c r="E602">
        <v>682</v>
      </c>
      <c r="F602">
        <v>26155382</v>
      </c>
      <c r="G602">
        <v>607</v>
      </c>
      <c r="H602">
        <v>2876325</v>
      </c>
      <c r="I602" t="s">
        <v>17</v>
      </c>
      <c r="J602">
        <v>215282</v>
      </c>
      <c r="K602">
        <v>176931</v>
      </c>
    </row>
    <row r="603" spans="1:11" x14ac:dyDescent="0.25">
      <c r="A603" s="1">
        <v>45632</v>
      </c>
      <c r="B603" t="s">
        <v>18</v>
      </c>
      <c r="C603" t="s">
        <v>14</v>
      </c>
      <c r="D603">
        <v>41778</v>
      </c>
      <c r="E603">
        <v>777</v>
      </c>
      <c r="F603">
        <v>32461506</v>
      </c>
      <c r="G603">
        <v>728</v>
      </c>
      <c r="H603">
        <v>2047122</v>
      </c>
      <c r="I603" t="s">
        <v>13</v>
      </c>
      <c r="J603">
        <v>379526</v>
      </c>
      <c r="K603">
        <v>337748</v>
      </c>
    </row>
    <row r="604" spans="1:11" x14ac:dyDescent="0.25">
      <c r="A604" s="1">
        <v>45632</v>
      </c>
      <c r="B604" t="s">
        <v>18</v>
      </c>
      <c r="C604" t="s">
        <v>15</v>
      </c>
      <c r="D604">
        <v>68200</v>
      </c>
      <c r="E604">
        <v>518</v>
      </c>
      <c r="F604">
        <v>35327600</v>
      </c>
      <c r="G604">
        <v>442</v>
      </c>
      <c r="H604">
        <v>5183200</v>
      </c>
      <c r="I604" t="s">
        <v>13</v>
      </c>
      <c r="J604">
        <v>256307</v>
      </c>
      <c r="K604">
        <v>188107</v>
      </c>
    </row>
    <row r="605" spans="1:11" x14ac:dyDescent="0.25">
      <c r="A605" s="1">
        <v>45633</v>
      </c>
      <c r="B605" t="s">
        <v>11</v>
      </c>
      <c r="C605" t="s">
        <v>12</v>
      </c>
      <c r="D605">
        <v>70085</v>
      </c>
      <c r="E605">
        <v>652</v>
      </c>
      <c r="F605">
        <v>45695420</v>
      </c>
      <c r="G605">
        <v>587</v>
      </c>
      <c r="H605">
        <v>4555525</v>
      </c>
      <c r="I605" t="s">
        <v>13</v>
      </c>
      <c r="J605">
        <v>243472</v>
      </c>
      <c r="K605">
        <v>173387</v>
      </c>
    </row>
    <row r="606" spans="1:11" x14ac:dyDescent="0.25">
      <c r="A606" s="1">
        <v>45633</v>
      </c>
      <c r="B606" t="s">
        <v>11</v>
      </c>
      <c r="C606" t="s">
        <v>14</v>
      </c>
      <c r="D606">
        <v>69416</v>
      </c>
      <c r="E606">
        <v>813</v>
      </c>
      <c r="F606">
        <v>56435208</v>
      </c>
      <c r="G606">
        <v>751</v>
      </c>
      <c r="H606">
        <v>4303792</v>
      </c>
      <c r="I606" t="s">
        <v>13</v>
      </c>
      <c r="J606">
        <v>277175</v>
      </c>
      <c r="K606">
        <v>207759</v>
      </c>
    </row>
    <row r="607" spans="1:11" x14ac:dyDescent="0.25">
      <c r="A607" s="1">
        <v>45633</v>
      </c>
      <c r="B607" t="s">
        <v>11</v>
      </c>
      <c r="C607" t="s">
        <v>15</v>
      </c>
      <c r="D607">
        <v>66733</v>
      </c>
      <c r="E607">
        <v>574</v>
      </c>
      <c r="F607">
        <v>38304742</v>
      </c>
      <c r="G607">
        <v>510</v>
      </c>
      <c r="H607">
        <v>4270912</v>
      </c>
      <c r="I607" t="s">
        <v>17</v>
      </c>
      <c r="J607">
        <v>342312</v>
      </c>
      <c r="K607">
        <v>275579</v>
      </c>
    </row>
    <row r="608" spans="1:11" x14ac:dyDescent="0.25">
      <c r="A608" s="1">
        <v>45633</v>
      </c>
      <c r="B608" t="s">
        <v>16</v>
      </c>
      <c r="C608" t="s">
        <v>12</v>
      </c>
      <c r="D608">
        <v>52762</v>
      </c>
      <c r="E608">
        <v>667</v>
      </c>
      <c r="F608">
        <v>35192254</v>
      </c>
      <c r="G608">
        <v>610</v>
      </c>
      <c r="H608">
        <v>3007434</v>
      </c>
      <c r="I608" t="s">
        <v>17</v>
      </c>
      <c r="J608">
        <v>476993</v>
      </c>
      <c r="K608">
        <v>424231</v>
      </c>
    </row>
    <row r="609" spans="1:11" x14ac:dyDescent="0.25">
      <c r="A609" s="1">
        <v>45633</v>
      </c>
      <c r="B609" t="s">
        <v>16</v>
      </c>
      <c r="C609" t="s">
        <v>14</v>
      </c>
      <c r="D609">
        <v>74869</v>
      </c>
      <c r="E609">
        <v>869</v>
      </c>
      <c r="F609">
        <v>65061161</v>
      </c>
      <c r="G609">
        <v>824</v>
      </c>
      <c r="H609">
        <v>3369105</v>
      </c>
      <c r="I609" t="s">
        <v>13</v>
      </c>
      <c r="J609">
        <v>235292</v>
      </c>
      <c r="K609">
        <v>160423</v>
      </c>
    </row>
    <row r="610" spans="1:11" x14ac:dyDescent="0.25">
      <c r="A610" s="1">
        <v>45633</v>
      </c>
      <c r="B610" t="s">
        <v>16</v>
      </c>
      <c r="C610" t="s">
        <v>15</v>
      </c>
      <c r="D610">
        <v>71631</v>
      </c>
      <c r="E610">
        <v>529</v>
      </c>
      <c r="F610">
        <v>37892799</v>
      </c>
      <c r="G610">
        <v>488</v>
      </c>
      <c r="H610">
        <v>2936871</v>
      </c>
      <c r="I610" t="s">
        <v>17</v>
      </c>
      <c r="J610">
        <v>385378</v>
      </c>
      <c r="K610">
        <v>313747</v>
      </c>
    </row>
    <row r="611" spans="1:11" x14ac:dyDescent="0.25">
      <c r="A611" s="1">
        <v>45633</v>
      </c>
      <c r="B611" t="s">
        <v>18</v>
      </c>
      <c r="C611" t="s">
        <v>12</v>
      </c>
      <c r="D611">
        <v>85087</v>
      </c>
      <c r="E611">
        <v>649</v>
      </c>
      <c r="F611">
        <v>55221463</v>
      </c>
      <c r="G611">
        <v>599</v>
      </c>
      <c r="H611">
        <v>4254350</v>
      </c>
      <c r="I611" t="s">
        <v>17</v>
      </c>
      <c r="J611">
        <v>249812</v>
      </c>
      <c r="K611">
        <v>164725</v>
      </c>
    </row>
    <row r="612" spans="1:11" x14ac:dyDescent="0.25">
      <c r="A612" s="1">
        <v>45633</v>
      </c>
      <c r="B612" t="s">
        <v>18</v>
      </c>
      <c r="C612" t="s">
        <v>14</v>
      </c>
      <c r="D612">
        <v>78643</v>
      </c>
      <c r="E612">
        <v>850</v>
      </c>
      <c r="F612">
        <v>66846550</v>
      </c>
      <c r="G612">
        <v>818</v>
      </c>
      <c r="H612">
        <v>2516576</v>
      </c>
      <c r="I612" t="s">
        <v>17</v>
      </c>
      <c r="J612">
        <v>478432</v>
      </c>
      <c r="K612">
        <v>399789</v>
      </c>
    </row>
    <row r="613" spans="1:11" x14ac:dyDescent="0.25">
      <c r="A613" s="1">
        <v>45633</v>
      </c>
      <c r="B613" t="s">
        <v>18</v>
      </c>
      <c r="C613" t="s">
        <v>15</v>
      </c>
      <c r="D613">
        <v>87580</v>
      </c>
      <c r="E613">
        <v>572</v>
      </c>
      <c r="F613">
        <v>50095760</v>
      </c>
      <c r="G613">
        <v>534</v>
      </c>
      <c r="H613">
        <v>3328040</v>
      </c>
      <c r="I613" t="s">
        <v>17</v>
      </c>
      <c r="J613">
        <v>246403</v>
      </c>
      <c r="K613">
        <v>158823</v>
      </c>
    </row>
    <row r="614" spans="1:11" x14ac:dyDescent="0.25">
      <c r="A614" s="1">
        <v>45634</v>
      </c>
      <c r="B614" t="s">
        <v>11</v>
      </c>
      <c r="C614" t="s">
        <v>12</v>
      </c>
      <c r="D614">
        <v>29168</v>
      </c>
      <c r="E614">
        <v>697</v>
      </c>
      <c r="F614">
        <v>20330096</v>
      </c>
      <c r="G614">
        <v>644</v>
      </c>
      <c r="H614">
        <v>1545904</v>
      </c>
      <c r="I614" t="s">
        <v>17</v>
      </c>
      <c r="J614">
        <v>259871</v>
      </c>
      <c r="K614">
        <v>230703</v>
      </c>
    </row>
    <row r="615" spans="1:11" x14ac:dyDescent="0.25">
      <c r="A615" s="1">
        <v>45634</v>
      </c>
      <c r="B615" t="s">
        <v>11</v>
      </c>
      <c r="C615" t="s">
        <v>14</v>
      </c>
      <c r="D615">
        <v>52174</v>
      </c>
      <c r="E615">
        <v>825</v>
      </c>
      <c r="F615">
        <v>43043550</v>
      </c>
      <c r="G615">
        <v>784</v>
      </c>
      <c r="H615">
        <v>2139134</v>
      </c>
      <c r="I615" t="s">
        <v>13</v>
      </c>
      <c r="J615">
        <v>488793</v>
      </c>
      <c r="K615">
        <v>436619</v>
      </c>
    </row>
    <row r="616" spans="1:11" x14ac:dyDescent="0.25">
      <c r="A616" s="1">
        <v>45634</v>
      </c>
      <c r="B616" t="s">
        <v>11</v>
      </c>
      <c r="C616" t="s">
        <v>15</v>
      </c>
      <c r="D616">
        <v>34567</v>
      </c>
      <c r="E616">
        <v>520</v>
      </c>
      <c r="F616">
        <v>17974840</v>
      </c>
      <c r="G616">
        <v>453</v>
      </c>
      <c r="H616">
        <v>2315989</v>
      </c>
      <c r="I616" t="s">
        <v>17</v>
      </c>
      <c r="J616">
        <v>296019</v>
      </c>
      <c r="K616">
        <v>261452</v>
      </c>
    </row>
    <row r="617" spans="1:11" x14ac:dyDescent="0.25">
      <c r="A617" s="1">
        <v>45634</v>
      </c>
      <c r="B617" t="s">
        <v>16</v>
      </c>
      <c r="C617" t="s">
        <v>12</v>
      </c>
      <c r="D617">
        <v>48803</v>
      </c>
      <c r="E617">
        <v>654</v>
      </c>
      <c r="F617">
        <v>31917162</v>
      </c>
      <c r="G617">
        <v>618</v>
      </c>
      <c r="H617">
        <v>1756908</v>
      </c>
      <c r="I617" t="s">
        <v>13</v>
      </c>
      <c r="J617">
        <v>430147</v>
      </c>
      <c r="K617">
        <v>381344</v>
      </c>
    </row>
    <row r="618" spans="1:11" x14ac:dyDescent="0.25">
      <c r="A618" s="1">
        <v>45634</v>
      </c>
      <c r="B618" t="s">
        <v>16</v>
      </c>
      <c r="C618" t="s">
        <v>14</v>
      </c>
      <c r="D618">
        <v>50795</v>
      </c>
      <c r="E618">
        <v>816</v>
      </c>
      <c r="F618">
        <v>41448720</v>
      </c>
      <c r="G618">
        <v>765</v>
      </c>
      <c r="H618">
        <v>2590545</v>
      </c>
      <c r="I618" t="s">
        <v>17</v>
      </c>
      <c r="J618">
        <v>479713</v>
      </c>
      <c r="K618">
        <v>428918</v>
      </c>
    </row>
    <row r="619" spans="1:11" x14ac:dyDescent="0.25">
      <c r="A619" s="1">
        <v>45634</v>
      </c>
      <c r="B619" t="s">
        <v>16</v>
      </c>
      <c r="C619" t="s">
        <v>15</v>
      </c>
      <c r="D619">
        <v>31190</v>
      </c>
      <c r="E619">
        <v>500</v>
      </c>
      <c r="F619">
        <v>15595000</v>
      </c>
      <c r="G619">
        <v>463</v>
      </c>
      <c r="H619">
        <v>1154030</v>
      </c>
      <c r="I619" t="s">
        <v>13</v>
      </c>
      <c r="J619">
        <v>240197</v>
      </c>
      <c r="K619">
        <v>209007</v>
      </c>
    </row>
    <row r="620" spans="1:11" x14ac:dyDescent="0.25">
      <c r="A620" s="1">
        <v>45634</v>
      </c>
      <c r="B620" t="s">
        <v>18</v>
      </c>
      <c r="C620" t="s">
        <v>12</v>
      </c>
      <c r="D620">
        <v>46512</v>
      </c>
      <c r="E620">
        <v>660</v>
      </c>
      <c r="F620">
        <v>30697920</v>
      </c>
      <c r="G620">
        <v>619</v>
      </c>
      <c r="H620">
        <v>1906992</v>
      </c>
      <c r="I620" t="s">
        <v>13</v>
      </c>
      <c r="J620">
        <v>491077</v>
      </c>
      <c r="K620">
        <v>444565</v>
      </c>
    </row>
    <row r="621" spans="1:11" x14ac:dyDescent="0.25">
      <c r="A621" s="1">
        <v>45634</v>
      </c>
      <c r="B621" t="s">
        <v>18</v>
      </c>
      <c r="C621" t="s">
        <v>14</v>
      </c>
      <c r="D621">
        <v>24378</v>
      </c>
      <c r="E621">
        <v>885</v>
      </c>
      <c r="F621">
        <v>21574530</v>
      </c>
      <c r="G621">
        <v>837</v>
      </c>
      <c r="H621">
        <v>1170144</v>
      </c>
      <c r="I621" t="s">
        <v>17</v>
      </c>
      <c r="J621">
        <v>360105</v>
      </c>
      <c r="K621">
        <v>335727</v>
      </c>
    </row>
    <row r="622" spans="1:11" x14ac:dyDescent="0.25">
      <c r="A622" s="1">
        <v>45634</v>
      </c>
      <c r="B622" t="s">
        <v>18</v>
      </c>
      <c r="C622" t="s">
        <v>15</v>
      </c>
      <c r="D622">
        <v>62604</v>
      </c>
      <c r="E622">
        <v>598</v>
      </c>
      <c r="F622">
        <v>37437192</v>
      </c>
      <c r="G622">
        <v>529</v>
      </c>
      <c r="H622">
        <v>4319676</v>
      </c>
      <c r="I622" t="s">
        <v>17</v>
      </c>
      <c r="J622">
        <v>273869</v>
      </c>
      <c r="K622">
        <v>211265</v>
      </c>
    </row>
    <row r="623" spans="1:11" x14ac:dyDescent="0.25">
      <c r="A623" s="1">
        <v>45635</v>
      </c>
      <c r="B623" t="s">
        <v>11</v>
      </c>
      <c r="C623" t="s">
        <v>12</v>
      </c>
      <c r="D623">
        <v>76044</v>
      </c>
      <c r="E623">
        <v>683</v>
      </c>
      <c r="F623">
        <v>51938052</v>
      </c>
      <c r="G623">
        <v>605</v>
      </c>
      <c r="H623">
        <v>5931432</v>
      </c>
      <c r="I623" t="s">
        <v>13</v>
      </c>
      <c r="J623">
        <v>286716</v>
      </c>
      <c r="K623">
        <v>210672</v>
      </c>
    </row>
    <row r="624" spans="1:11" x14ac:dyDescent="0.25">
      <c r="A624" s="1">
        <v>45635</v>
      </c>
      <c r="B624" t="s">
        <v>11</v>
      </c>
      <c r="C624" t="s">
        <v>14</v>
      </c>
      <c r="D624">
        <v>63056</v>
      </c>
      <c r="E624">
        <v>795</v>
      </c>
      <c r="F624">
        <v>50129520</v>
      </c>
      <c r="G624">
        <v>717</v>
      </c>
      <c r="H624">
        <v>4918368</v>
      </c>
      <c r="I624" t="s">
        <v>17</v>
      </c>
      <c r="J624">
        <v>479687</v>
      </c>
      <c r="K624">
        <v>416631</v>
      </c>
    </row>
    <row r="625" spans="1:11" x14ac:dyDescent="0.25">
      <c r="A625" s="1">
        <v>45635</v>
      </c>
      <c r="B625" t="s">
        <v>11</v>
      </c>
      <c r="C625" t="s">
        <v>15</v>
      </c>
      <c r="D625">
        <v>36724</v>
      </c>
      <c r="E625">
        <v>548</v>
      </c>
      <c r="F625">
        <v>20124752</v>
      </c>
      <c r="G625">
        <v>477</v>
      </c>
      <c r="H625">
        <v>2607404</v>
      </c>
      <c r="I625" t="s">
        <v>13</v>
      </c>
      <c r="J625">
        <v>336554</v>
      </c>
      <c r="K625">
        <v>299830</v>
      </c>
    </row>
    <row r="626" spans="1:11" x14ac:dyDescent="0.25">
      <c r="A626" s="1">
        <v>45635</v>
      </c>
      <c r="B626" t="s">
        <v>16</v>
      </c>
      <c r="C626" t="s">
        <v>12</v>
      </c>
      <c r="D626">
        <v>70952</v>
      </c>
      <c r="E626">
        <v>687</v>
      </c>
      <c r="F626">
        <v>48744024</v>
      </c>
      <c r="G626">
        <v>621</v>
      </c>
      <c r="H626">
        <v>4682832</v>
      </c>
      <c r="I626" t="s">
        <v>17</v>
      </c>
      <c r="J626">
        <v>270448</v>
      </c>
      <c r="K626">
        <v>199496</v>
      </c>
    </row>
    <row r="627" spans="1:11" x14ac:dyDescent="0.25">
      <c r="A627" s="1">
        <v>45635</v>
      </c>
      <c r="B627" t="s">
        <v>16</v>
      </c>
      <c r="C627" t="s">
        <v>14</v>
      </c>
      <c r="D627">
        <v>53623</v>
      </c>
      <c r="E627">
        <v>770</v>
      </c>
      <c r="F627">
        <v>41289710</v>
      </c>
      <c r="G627">
        <v>702</v>
      </c>
      <c r="H627">
        <v>3646364</v>
      </c>
      <c r="I627" t="s">
        <v>17</v>
      </c>
      <c r="J627">
        <v>222054</v>
      </c>
      <c r="K627">
        <v>168431</v>
      </c>
    </row>
    <row r="628" spans="1:11" x14ac:dyDescent="0.25">
      <c r="A628" s="1">
        <v>45635</v>
      </c>
      <c r="B628" t="s">
        <v>16</v>
      </c>
      <c r="C628" t="s">
        <v>15</v>
      </c>
      <c r="D628">
        <v>42207</v>
      </c>
      <c r="E628">
        <v>510</v>
      </c>
      <c r="F628">
        <v>21525570</v>
      </c>
      <c r="G628">
        <v>435</v>
      </c>
      <c r="H628">
        <v>3165525</v>
      </c>
      <c r="I628" t="s">
        <v>17</v>
      </c>
      <c r="J628">
        <v>281554</v>
      </c>
      <c r="K628">
        <v>239347</v>
      </c>
    </row>
    <row r="629" spans="1:11" x14ac:dyDescent="0.25">
      <c r="A629" s="1">
        <v>45635</v>
      </c>
      <c r="B629" t="s">
        <v>18</v>
      </c>
      <c r="C629" t="s">
        <v>12</v>
      </c>
      <c r="D629">
        <v>79518</v>
      </c>
      <c r="E629">
        <v>645</v>
      </c>
      <c r="F629">
        <v>51289110</v>
      </c>
      <c r="G629">
        <v>571</v>
      </c>
      <c r="H629">
        <v>5884332</v>
      </c>
      <c r="I629" t="s">
        <v>13</v>
      </c>
      <c r="J629">
        <v>392512</v>
      </c>
      <c r="K629">
        <v>312994</v>
      </c>
    </row>
    <row r="630" spans="1:11" x14ac:dyDescent="0.25">
      <c r="A630" s="1">
        <v>45635</v>
      </c>
      <c r="B630" t="s">
        <v>18</v>
      </c>
      <c r="C630" t="s">
        <v>14</v>
      </c>
      <c r="D630">
        <v>81035</v>
      </c>
      <c r="E630">
        <v>768</v>
      </c>
      <c r="F630">
        <v>62234880</v>
      </c>
      <c r="G630">
        <v>727</v>
      </c>
      <c r="H630">
        <v>3322435</v>
      </c>
      <c r="I630" t="s">
        <v>13</v>
      </c>
      <c r="J630">
        <v>442247</v>
      </c>
      <c r="K630">
        <v>361212</v>
      </c>
    </row>
    <row r="631" spans="1:11" x14ac:dyDescent="0.25">
      <c r="A631" s="1">
        <v>45635</v>
      </c>
      <c r="B631" t="s">
        <v>18</v>
      </c>
      <c r="C631" t="s">
        <v>15</v>
      </c>
      <c r="D631">
        <v>80348</v>
      </c>
      <c r="E631">
        <v>511</v>
      </c>
      <c r="F631">
        <v>41057828</v>
      </c>
      <c r="G631">
        <v>434</v>
      </c>
      <c r="H631">
        <v>6186796</v>
      </c>
      <c r="I631" t="s">
        <v>13</v>
      </c>
      <c r="J631">
        <v>457324</v>
      </c>
      <c r="K631">
        <v>376976</v>
      </c>
    </row>
    <row r="632" spans="1:11" x14ac:dyDescent="0.25">
      <c r="A632" s="1">
        <v>45636</v>
      </c>
      <c r="B632" t="s">
        <v>11</v>
      </c>
      <c r="C632" t="s">
        <v>12</v>
      </c>
      <c r="D632">
        <v>75398</v>
      </c>
      <c r="E632">
        <v>691</v>
      </c>
      <c r="F632">
        <v>52100018</v>
      </c>
      <c r="G632">
        <v>657</v>
      </c>
      <c r="H632">
        <v>2563532</v>
      </c>
      <c r="I632" t="s">
        <v>13</v>
      </c>
      <c r="J632">
        <v>409754</v>
      </c>
      <c r="K632">
        <v>334356</v>
      </c>
    </row>
    <row r="633" spans="1:11" x14ac:dyDescent="0.25">
      <c r="A633" s="1">
        <v>45636</v>
      </c>
      <c r="B633" t="s">
        <v>11</v>
      </c>
      <c r="C633" t="s">
        <v>14</v>
      </c>
      <c r="D633">
        <v>72893</v>
      </c>
      <c r="E633">
        <v>833</v>
      </c>
      <c r="F633">
        <v>60719869</v>
      </c>
      <c r="G633">
        <v>786</v>
      </c>
      <c r="H633">
        <v>3425971</v>
      </c>
      <c r="I633" t="s">
        <v>13</v>
      </c>
      <c r="J633">
        <v>238211</v>
      </c>
      <c r="K633">
        <v>165318</v>
      </c>
    </row>
    <row r="634" spans="1:11" x14ac:dyDescent="0.25">
      <c r="A634" s="1">
        <v>45636</v>
      </c>
      <c r="B634" t="s">
        <v>11</v>
      </c>
      <c r="C634" t="s">
        <v>15</v>
      </c>
      <c r="D634">
        <v>23744</v>
      </c>
      <c r="E634">
        <v>535</v>
      </c>
      <c r="F634">
        <v>12703040</v>
      </c>
      <c r="G634">
        <v>488</v>
      </c>
      <c r="H634">
        <v>1115968</v>
      </c>
      <c r="I634" t="s">
        <v>17</v>
      </c>
      <c r="J634">
        <v>429010</v>
      </c>
      <c r="K634">
        <v>405266</v>
      </c>
    </row>
    <row r="635" spans="1:11" x14ac:dyDescent="0.25">
      <c r="A635" s="1">
        <v>45636</v>
      </c>
      <c r="B635" t="s">
        <v>16</v>
      </c>
      <c r="C635" t="s">
        <v>12</v>
      </c>
      <c r="D635">
        <v>30651</v>
      </c>
      <c r="E635">
        <v>639</v>
      </c>
      <c r="F635">
        <v>19585989</v>
      </c>
      <c r="G635">
        <v>590</v>
      </c>
      <c r="H635">
        <v>1501899</v>
      </c>
      <c r="I635" t="s">
        <v>17</v>
      </c>
      <c r="J635">
        <v>426416</v>
      </c>
      <c r="K635">
        <v>395765</v>
      </c>
    </row>
    <row r="636" spans="1:11" x14ac:dyDescent="0.25">
      <c r="A636" s="1">
        <v>45636</v>
      </c>
      <c r="B636" t="s">
        <v>16</v>
      </c>
      <c r="C636" t="s">
        <v>14</v>
      </c>
      <c r="D636">
        <v>36715</v>
      </c>
      <c r="E636">
        <v>871</v>
      </c>
      <c r="F636">
        <v>31978765</v>
      </c>
      <c r="G636">
        <v>827</v>
      </c>
      <c r="H636">
        <v>1615460</v>
      </c>
      <c r="I636" t="s">
        <v>17</v>
      </c>
      <c r="J636">
        <v>341130</v>
      </c>
      <c r="K636">
        <v>304415</v>
      </c>
    </row>
    <row r="637" spans="1:11" x14ac:dyDescent="0.25">
      <c r="A637" s="1">
        <v>45636</v>
      </c>
      <c r="B637" t="s">
        <v>16</v>
      </c>
      <c r="C637" t="s">
        <v>15</v>
      </c>
      <c r="D637">
        <v>84200</v>
      </c>
      <c r="E637">
        <v>538</v>
      </c>
      <c r="F637">
        <v>45299600</v>
      </c>
      <c r="G637">
        <v>481</v>
      </c>
      <c r="H637">
        <v>4799400</v>
      </c>
      <c r="I637" t="s">
        <v>17</v>
      </c>
      <c r="J637">
        <v>456453</v>
      </c>
      <c r="K637">
        <v>372253</v>
      </c>
    </row>
    <row r="638" spans="1:11" x14ac:dyDescent="0.25">
      <c r="A638" s="1">
        <v>45636</v>
      </c>
      <c r="B638" t="s">
        <v>18</v>
      </c>
      <c r="C638" t="s">
        <v>12</v>
      </c>
      <c r="D638">
        <v>82068</v>
      </c>
      <c r="E638">
        <v>601</v>
      </c>
      <c r="F638">
        <v>49322868</v>
      </c>
      <c r="G638">
        <v>543</v>
      </c>
      <c r="H638">
        <v>4759944</v>
      </c>
      <c r="I638" t="s">
        <v>17</v>
      </c>
      <c r="J638">
        <v>361445</v>
      </c>
      <c r="K638">
        <v>279377</v>
      </c>
    </row>
    <row r="639" spans="1:11" x14ac:dyDescent="0.25">
      <c r="A639" s="1">
        <v>45636</v>
      </c>
      <c r="B639" t="s">
        <v>18</v>
      </c>
      <c r="C639" t="s">
        <v>14</v>
      </c>
      <c r="D639">
        <v>26031</v>
      </c>
      <c r="E639">
        <v>843</v>
      </c>
      <c r="F639">
        <v>21944133</v>
      </c>
      <c r="G639">
        <v>774</v>
      </c>
      <c r="H639">
        <v>1796139</v>
      </c>
      <c r="I639" t="s">
        <v>17</v>
      </c>
      <c r="J639">
        <v>484929</v>
      </c>
      <c r="K639">
        <v>458898</v>
      </c>
    </row>
    <row r="640" spans="1:11" x14ac:dyDescent="0.25">
      <c r="A640" s="1">
        <v>45636</v>
      </c>
      <c r="B640" t="s">
        <v>18</v>
      </c>
      <c r="C640" t="s">
        <v>15</v>
      </c>
      <c r="D640">
        <v>48669</v>
      </c>
      <c r="E640">
        <v>511</v>
      </c>
      <c r="F640">
        <v>24869859</v>
      </c>
      <c r="G640">
        <v>447</v>
      </c>
      <c r="H640">
        <v>3114816</v>
      </c>
      <c r="I640" t="s">
        <v>17</v>
      </c>
      <c r="J640">
        <v>202282</v>
      </c>
      <c r="K640">
        <v>153613</v>
      </c>
    </row>
    <row r="641" spans="1:11" x14ac:dyDescent="0.25">
      <c r="A641" s="1">
        <v>45637</v>
      </c>
      <c r="B641" t="s">
        <v>11</v>
      </c>
      <c r="C641" t="s">
        <v>12</v>
      </c>
      <c r="D641">
        <v>68438</v>
      </c>
      <c r="E641">
        <v>644</v>
      </c>
      <c r="F641">
        <v>44074072</v>
      </c>
      <c r="G641">
        <v>600</v>
      </c>
      <c r="H641">
        <v>3011272</v>
      </c>
      <c r="I641" t="s">
        <v>17</v>
      </c>
      <c r="J641">
        <v>362777</v>
      </c>
      <c r="K641">
        <v>294339</v>
      </c>
    </row>
    <row r="642" spans="1:11" x14ac:dyDescent="0.25">
      <c r="A642" s="1">
        <v>45637</v>
      </c>
      <c r="B642" t="s">
        <v>11</v>
      </c>
      <c r="C642" t="s">
        <v>14</v>
      </c>
      <c r="D642">
        <v>57437</v>
      </c>
      <c r="E642">
        <v>798</v>
      </c>
      <c r="F642">
        <v>45834726</v>
      </c>
      <c r="G642">
        <v>738</v>
      </c>
      <c r="H642">
        <v>3446220</v>
      </c>
      <c r="I642" t="s">
        <v>17</v>
      </c>
      <c r="J642">
        <v>436440</v>
      </c>
      <c r="K642">
        <v>379003</v>
      </c>
    </row>
    <row r="643" spans="1:11" x14ac:dyDescent="0.25">
      <c r="A643" s="1">
        <v>45637</v>
      </c>
      <c r="B643" t="s">
        <v>11</v>
      </c>
      <c r="C643" t="s">
        <v>15</v>
      </c>
      <c r="D643">
        <v>70583</v>
      </c>
      <c r="E643">
        <v>537</v>
      </c>
      <c r="F643">
        <v>37903071</v>
      </c>
      <c r="G643">
        <v>480</v>
      </c>
      <c r="H643">
        <v>4023231</v>
      </c>
      <c r="I643" t="s">
        <v>13</v>
      </c>
      <c r="J643">
        <v>472660</v>
      </c>
      <c r="K643">
        <v>402077</v>
      </c>
    </row>
    <row r="644" spans="1:11" x14ac:dyDescent="0.25">
      <c r="A644" s="1">
        <v>45637</v>
      </c>
      <c r="B644" t="s">
        <v>16</v>
      </c>
      <c r="C644" t="s">
        <v>12</v>
      </c>
      <c r="D644">
        <v>37514</v>
      </c>
      <c r="E644">
        <v>617</v>
      </c>
      <c r="F644">
        <v>23146138</v>
      </c>
      <c r="G644">
        <v>552</v>
      </c>
      <c r="H644">
        <v>2438410</v>
      </c>
      <c r="I644" t="s">
        <v>17</v>
      </c>
      <c r="J644">
        <v>431496</v>
      </c>
      <c r="K644">
        <v>393982</v>
      </c>
    </row>
    <row r="645" spans="1:11" x14ac:dyDescent="0.25">
      <c r="A645" s="1">
        <v>45637</v>
      </c>
      <c r="B645" t="s">
        <v>16</v>
      </c>
      <c r="C645" t="s">
        <v>14</v>
      </c>
      <c r="D645">
        <v>81049</v>
      </c>
      <c r="E645">
        <v>779</v>
      </c>
      <c r="F645">
        <v>63137171</v>
      </c>
      <c r="G645">
        <v>706</v>
      </c>
      <c r="H645">
        <v>5916577</v>
      </c>
      <c r="I645" t="s">
        <v>13</v>
      </c>
      <c r="J645">
        <v>373921</v>
      </c>
      <c r="K645">
        <v>292872</v>
      </c>
    </row>
    <row r="646" spans="1:11" x14ac:dyDescent="0.25">
      <c r="A646" s="1">
        <v>45637</v>
      </c>
      <c r="B646" t="s">
        <v>16</v>
      </c>
      <c r="C646" t="s">
        <v>15</v>
      </c>
      <c r="D646">
        <v>37858</v>
      </c>
      <c r="E646">
        <v>566</v>
      </c>
      <c r="F646">
        <v>21427628</v>
      </c>
      <c r="G646">
        <v>509</v>
      </c>
      <c r="H646">
        <v>2157906</v>
      </c>
      <c r="I646" t="s">
        <v>17</v>
      </c>
      <c r="J646">
        <v>383467</v>
      </c>
      <c r="K646">
        <v>345609</v>
      </c>
    </row>
    <row r="647" spans="1:11" x14ac:dyDescent="0.25">
      <c r="A647" s="1">
        <v>45637</v>
      </c>
      <c r="B647" t="s">
        <v>18</v>
      </c>
      <c r="C647" t="s">
        <v>12</v>
      </c>
      <c r="D647">
        <v>74312</v>
      </c>
      <c r="E647">
        <v>662</v>
      </c>
      <c r="F647">
        <v>49194544</v>
      </c>
      <c r="G647">
        <v>610</v>
      </c>
      <c r="H647">
        <v>3864224</v>
      </c>
      <c r="I647" t="s">
        <v>17</v>
      </c>
      <c r="J647">
        <v>282279</v>
      </c>
      <c r="K647">
        <v>207967</v>
      </c>
    </row>
    <row r="648" spans="1:11" x14ac:dyDescent="0.25">
      <c r="A648" s="1">
        <v>45637</v>
      </c>
      <c r="B648" t="s">
        <v>18</v>
      </c>
      <c r="C648" t="s">
        <v>14</v>
      </c>
      <c r="D648">
        <v>84047</v>
      </c>
      <c r="E648">
        <v>806</v>
      </c>
      <c r="F648">
        <v>67741882</v>
      </c>
      <c r="G648">
        <v>741</v>
      </c>
      <c r="H648">
        <v>5463055</v>
      </c>
      <c r="I648" t="s">
        <v>17</v>
      </c>
      <c r="J648">
        <v>328379</v>
      </c>
      <c r="K648">
        <v>244332</v>
      </c>
    </row>
    <row r="649" spans="1:11" x14ac:dyDescent="0.25">
      <c r="A649" s="1">
        <v>45637</v>
      </c>
      <c r="B649" t="s">
        <v>18</v>
      </c>
      <c r="C649" t="s">
        <v>15</v>
      </c>
      <c r="D649">
        <v>65734</v>
      </c>
      <c r="E649">
        <v>533</v>
      </c>
      <c r="F649">
        <v>35036222</v>
      </c>
      <c r="G649">
        <v>476</v>
      </c>
      <c r="H649">
        <v>3746838</v>
      </c>
      <c r="I649" t="s">
        <v>17</v>
      </c>
      <c r="J649">
        <v>268803</v>
      </c>
      <c r="K649">
        <v>203069</v>
      </c>
    </row>
    <row r="650" spans="1:11" x14ac:dyDescent="0.25">
      <c r="A650" s="1">
        <v>45638</v>
      </c>
      <c r="B650" t="s">
        <v>11</v>
      </c>
      <c r="C650" t="s">
        <v>12</v>
      </c>
      <c r="D650">
        <v>41312</v>
      </c>
      <c r="E650">
        <v>664</v>
      </c>
      <c r="F650">
        <v>27431168</v>
      </c>
      <c r="G650">
        <v>588</v>
      </c>
      <c r="H650">
        <v>3139712</v>
      </c>
      <c r="I650" t="s">
        <v>17</v>
      </c>
      <c r="J650">
        <v>375251</v>
      </c>
      <c r="K650">
        <v>333939</v>
      </c>
    </row>
    <row r="651" spans="1:11" x14ac:dyDescent="0.25">
      <c r="A651" s="1">
        <v>45638</v>
      </c>
      <c r="B651" t="s">
        <v>11</v>
      </c>
      <c r="C651" t="s">
        <v>14</v>
      </c>
      <c r="D651">
        <v>60379</v>
      </c>
      <c r="E651">
        <v>895</v>
      </c>
      <c r="F651">
        <v>54039205</v>
      </c>
      <c r="G651">
        <v>838</v>
      </c>
      <c r="H651">
        <v>3441603</v>
      </c>
      <c r="I651" t="s">
        <v>17</v>
      </c>
      <c r="J651">
        <v>320234</v>
      </c>
      <c r="K651">
        <v>259855</v>
      </c>
    </row>
    <row r="652" spans="1:11" x14ac:dyDescent="0.25">
      <c r="A652" s="1">
        <v>45638</v>
      </c>
      <c r="B652" t="s">
        <v>11</v>
      </c>
      <c r="C652" t="s">
        <v>15</v>
      </c>
      <c r="D652">
        <v>31738</v>
      </c>
      <c r="E652">
        <v>510</v>
      </c>
      <c r="F652">
        <v>16186380</v>
      </c>
      <c r="G652">
        <v>432</v>
      </c>
      <c r="H652">
        <v>2475564</v>
      </c>
      <c r="I652" t="s">
        <v>13</v>
      </c>
      <c r="J652">
        <v>473264</v>
      </c>
      <c r="K652">
        <v>441526</v>
      </c>
    </row>
    <row r="653" spans="1:11" x14ac:dyDescent="0.25">
      <c r="A653" s="1">
        <v>45638</v>
      </c>
      <c r="B653" t="s">
        <v>16</v>
      </c>
      <c r="C653" t="s">
        <v>12</v>
      </c>
      <c r="D653">
        <v>28767</v>
      </c>
      <c r="E653">
        <v>668</v>
      </c>
      <c r="F653">
        <v>19216356</v>
      </c>
      <c r="G653">
        <v>631</v>
      </c>
      <c r="H653">
        <v>1064379</v>
      </c>
      <c r="I653" t="s">
        <v>13</v>
      </c>
      <c r="J653">
        <v>408559</v>
      </c>
      <c r="K653">
        <v>379792</v>
      </c>
    </row>
    <row r="654" spans="1:11" x14ac:dyDescent="0.25">
      <c r="A654" s="1">
        <v>45638</v>
      </c>
      <c r="B654" t="s">
        <v>16</v>
      </c>
      <c r="C654" t="s">
        <v>14</v>
      </c>
      <c r="D654">
        <v>37438</v>
      </c>
      <c r="E654">
        <v>881</v>
      </c>
      <c r="F654">
        <v>32982878</v>
      </c>
      <c r="G654">
        <v>803</v>
      </c>
      <c r="H654">
        <v>2920164</v>
      </c>
      <c r="I654" t="s">
        <v>13</v>
      </c>
      <c r="J654">
        <v>414892</v>
      </c>
      <c r="K654">
        <v>377454</v>
      </c>
    </row>
    <row r="655" spans="1:11" x14ac:dyDescent="0.25">
      <c r="A655" s="1">
        <v>45638</v>
      </c>
      <c r="B655" t="s">
        <v>16</v>
      </c>
      <c r="C655" t="s">
        <v>15</v>
      </c>
      <c r="D655">
        <v>27069</v>
      </c>
      <c r="E655">
        <v>587</v>
      </c>
      <c r="F655">
        <v>15889503</v>
      </c>
      <c r="G655">
        <v>555</v>
      </c>
      <c r="H655">
        <v>866208</v>
      </c>
      <c r="I655" t="s">
        <v>17</v>
      </c>
      <c r="J655">
        <v>320906</v>
      </c>
      <c r="K655">
        <v>293837</v>
      </c>
    </row>
    <row r="656" spans="1:11" x14ac:dyDescent="0.25">
      <c r="A656" s="1">
        <v>45638</v>
      </c>
      <c r="B656" t="s">
        <v>18</v>
      </c>
      <c r="C656" t="s">
        <v>12</v>
      </c>
      <c r="D656">
        <v>27597</v>
      </c>
      <c r="E656">
        <v>663</v>
      </c>
      <c r="F656">
        <v>18296811</v>
      </c>
      <c r="G656">
        <v>607</v>
      </c>
      <c r="H656">
        <v>1545432</v>
      </c>
      <c r="I656" t="s">
        <v>13</v>
      </c>
      <c r="J656">
        <v>408434</v>
      </c>
      <c r="K656">
        <v>380837</v>
      </c>
    </row>
    <row r="657" spans="1:11" x14ac:dyDescent="0.25">
      <c r="A657" s="1">
        <v>45638</v>
      </c>
      <c r="B657" t="s">
        <v>18</v>
      </c>
      <c r="C657" t="s">
        <v>14</v>
      </c>
      <c r="D657">
        <v>38693</v>
      </c>
      <c r="E657">
        <v>808</v>
      </c>
      <c r="F657">
        <v>31263944</v>
      </c>
      <c r="G657">
        <v>764</v>
      </c>
      <c r="H657">
        <v>1702492</v>
      </c>
      <c r="I657" t="s">
        <v>13</v>
      </c>
      <c r="J657">
        <v>450100</v>
      </c>
      <c r="K657">
        <v>411407</v>
      </c>
    </row>
    <row r="658" spans="1:11" x14ac:dyDescent="0.25">
      <c r="A658" s="1">
        <v>45638</v>
      </c>
      <c r="B658" t="s">
        <v>18</v>
      </c>
      <c r="C658" t="s">
        <v>15</v>
      </c>
      <c r="D658">
        <v>73161</v>
      </c>
      <c r="E658">
        <v>536</v>
      </c>
      <c r="F658">
        <v>39214296</v>
      </c>
      <c r="G658">
        <v>465</v>
      </c>
      <c r="H658">
        <v>5194431</v>
      </c>
      <c r="I658" t="s">
        <v>17</v>
      </c>
      <c r="J658">
        <v>404923</v>
      </c>
      <c r="K658">
        <v>331762</v>
      </c>
    </row>
    <row r="659" spans="1:11" x14ac:dyDescent="0.25">
      <c r="A659" s="1">
        <v>45639</v>
      </c>
      <c r="B659" t="s">
        <v>11</v>
      </c>
      <c r="C659" t="s">
        <v>12</v>
      </c>
      <c r="D659">
        <v>51778</v>
      </c>
      <c r="E659">
        <v>686</v>
      </c>
      <c r="F659">
        <v>35519708</v>
      </c>
      <c r="G659">
        <v>651</v>
      </c>
      <c r="H659">
        <v>1812230</v>
      </c>
      <c r="I659" t="s">
        <v>13</v>
      </c>
      <c r="J659">
        <v>361475</v>
      </c>
      <c r="K659">
        <v>309697</v>
      </c>
    </row>
    <row r="660" spans="1:11" x14ac:dyDescent="0.25">
      <c r="A660" s="1">
        <v>45639</v>
      </c>
      <c r="B660" t="s">
        <v>11</v>
      </c>
      <c r="C660" t="s">
        <v>14</v>
      </c>
      <c r="D660">
        <v>26344</v>
      </c>
      <c r="E660">
        <v>862</v>
      </c>
      <c r="F660">
        <v>22708528</v>
      </c>
      <c r="G660">
        <v>804</v>
      </c>
      <c r="H660">
        <v>1527952</v>
      </c>
      <c r="I660" t="s">
        <v>17</v>
      </c>
      <c r="J660">
        <v>482682</v>
      </c>
      <c r="K660">
        <v>456338</v>
      </c>
    </row>
    <row r="661" spans="1:11" x14ac:dyDescent="0.25">
      <c r="A661" s="1">
        <v>45639</v>
      </c>
      <c r="B661" t="s">
        <v>11</v>
      </c>
      <c r="C661" t="s">
        <v>15</v>
      </c>
      <c r="D661">
        <v>34973</v>
      </c>
      <c r="E661">
        <v>516</v>
      </c>
      <c r="F661">
        <v>18046068</v>
      </c>
      <c r="G661">
        <v>442</v>
      </c>
      <c r="H661">
        <v>2588002</v>
      </c>
      <c r="I661" t="s">
        <v>13</v>
      </c>
      <c r="J661">
        <v>367647</v>
      </c>
      <c r="K661">
        <v>332674</v>
      </c>
    </row>
    <row r="662" spans="1:11" x14ac:dyDescent="0.25">
      <c r="A662" s="1">
        <v>45639</v>
      </c>
      <c r="B662" t="s">
        <v>16</v>
      </c>
      <c r="C662" t="s">
        <v>12</v>
      </c>
      <c r="D662">
        <v>62261</v>
      </c>
      <c r="E662">
        <v>667</v>
      </c>
      <c r="F662">
        <v>41528087</v>
      </c>
      <c r="G662">
        <v>633</v>
      </c>
      <c r="H662">
        <v>2116874</v>
      </c>
      <c r="I662" t="s">
        <v>17</v>
      </c>
      <c r="J662">
        <v>202352</v>
      </c>
      <c r="K662">
        <v>140091</v>
      </c>
    </row>
    <row r="663" spans="1:11" x14ac:dyDescent="0.25">
      <c r="A663" s="1">
        <v>45639</v>
      </c>
      <c r="B663" t="s">
        <v>16</v>
      </c>
      <c r="C663" t="s">
        <v>14</v>
      </c>
      <c r="D663">
        <v>28556</v>
      </c>
      <c r="E663">
        <v>835</v>
      </c>
      <c r="F663">
        <v>23844260</v>
      </c>
      <c r="G663">
        <v>783</v>
      </c>
      <c r="H663">
        <v>1484912</v>
      </c>
      <c r="I663" t="s">
        <v>17</v>
      </c>
      <c r="J663">
        <v>250098</v>
      </c>
      <c r="K663">
        <v>221542</v>
      </c>
    </row>
    <row r="664" spans="1:11" x14ac:dyDescent="0.25">
      <c r="A664" s="1">
        <v>45639</v>
      </c>
      <c r="B664" t="s">
        <v>16</v>
      </c>
      <c r="C664" t="s">
        <v>15</v>
      </c>
      <c r="D664">
        <v>29569</v>
      </c>
      <c r="E664">
        <v>531</v>
      </c>
      <c r="F664">
        <v>15701139</v>
      </c>
      <c r="G664">
        <v>457</v>
      </c>
      <c r="H664">
        <v>2188106</v>
      </c>
      <c r="I664" t="s">
        <v>13</v>
      </c>
      <c r="J664">
        <v>387954</v>
      </c>
      <c r="K664">
        <v>358385</v>
      </c>
    </row>
    <row r="665" spans="1:11" x14ac:dyDescent="0.25">
      <c r="A665" s="1">
        <v>45639</v>
      </c>
      <c r="B665" t="s">
        <v>18</v>
      </c>
      <c r="C665" t="s">
        <v>12</v>
      </c>
      <c r="D665">
        <v>20340</v>
      </c>
      <c r="E665">
        <v>645</v>
      </c>
      <c r="F665">
        <v>13119300</v>
      </c>
      <c r="G665">
        <v>572</v>
      </c>
      <c r="H665">
        <v>1484820</v>
      </c>
      <c r="I665" t="s">
        <v>13</v>
      </c>
      <c r="J665">
        <v>422740</v>
      </c>
      <c r="K665">
        <v>402400</v>
      </c>
    </row>
    <row r="666" spans="1:11" x14ac:dyDescent="0.25">
      <c r="A666" s="1">
        <v>45639</v>
      </c>
      <c r="B666" t="s">
        <v>18</v>
      </c>
      <c r="C666" t="s">
        <v>14</v>
      </c>
      <c r="D666">
        <v>20138</v>
      </c>
      <c r="E666">
        <v>852</v>
      </c>
      <c r="F666">
        <v>17157576</v>
      </c>
      <c r="G666">
        <v>819</v>
      </c>
      <c r="H666">
        <v>664554</v>
      </c>
      <c r="I666" t="s">
        <v>17</v>
      </c>
      <c r="J666">
        <v>299931</v>
      </c>
      <c r="K666">
        <v>279793</v>
      </c>
    </row>
    <row r="667" spans="1:11" x14ac:dyDescent="0.25">
      <c r="A667" s="1">
        <v>45639</v>
      </c>
      <c r="B667" t="s">
        <v>18</v>
      </c>
      <c r="C667" t="s">
        <v>15</v>
      </c>
      <c r="D667">
        <v>45879</v>
      </c>
      <c r="E667">
        <v>598</v>
      </c>
      <c r="F667">
        <v>27435642</v>
      </c>
      <c r="G667">
        <v>556</v>
      </c>
      <c r="H667">
        <v>1926918</v>
      </c>
      <c r="I667" t="s">
        <v>13</v>
      </c>
      <c r="J667">
        <v>258478</v>
      </c>
      <c r="K667">
        <v>212599</v>
      </c>
    </row>
    <row r="668" spans="1:11" x14ac:dyDescent="0.25">
      <c r="A668" s="1">
        <v>45640</v>
      </c>
      <c r="B668" t="s">
        <v>11</v>
      </c>
      <c r="C668" t="s">
        <v>12</v>
      </c>
      <c r="D668">
        <v>46762</v>
      </c>
      <c r="E668">
        <v>699</v>
      </c>
      <c r="F668">
        <v>32686638</v>
      </c>
      <c r="G668">
        <v>653</v>
      </c>
      <c r="H668">
        <v>2151052</v>
      </c>
      <c r="I668" t="s">
        <v>13</v>
      </c>
      <c r="J668">
        <v>482363</v>
      </c>
      <c r="K668">
        <v>435601</v>
      </c>
    </row>
    <row r="669" spans="1:11" x14ac:dyDescent="0.25">
      <c r="A669" s="1">
        <v>45640</v>
      </c>
      <c r="B669" t="s">
        <v>11</v>
      </c>
      <c r="C669" t="s">
        <v>14</v>
      </c>
      <c r="D669">
        <v>66840</v>
      </c>
      <c r="E669">
        <v>768</v>
      </c>
      <c r="F669">
        <v>51333120</v>
      </c>
      <c r="G669">
        <v>702</v>
      </c>
      <c r="H669">
        <v>4411440</v>
      </c>
      <c r="I669" t="s">
        <v>13</v>
      </c>
      <c r="J669">
        <v>350023</v>
      </c>
      <c r="K669">
        <v>283183</v>
      </c>
    </row>
    <row r="670" spans="1:11" x14ac:dyDescent="0.25">
      <c r="A670" s="1">
        <v>45640</v>
      </c>
      <c r="B670" t="s">
        <v>11</v>
      </c>
      <c r="C670" t="s">
        <v>15</v>
      </c>
      <c r="D670">
        <v>55428</v>
      </c>
      <c r="E670">
        <v>535</v>
      </c>
      <c r="F670">
        <v>29653980</v>
      </c>
      <c r="G670">
        <v>487</v>
      </c>
      <c r="H670">
        <v>2660544</v>
      </c>
      <c r="I670" t="s">
        <v>13</v>
      </c>
      <c r="J670">
        <v>406846</v>
      </c>
      <c r="K670">
        <v>351418</v>
      </c>
    </row>
    <row r="671" spans="1:11" x14ac:dyDescent="0.25">
      <c r="A671" s="1">
        <v>45640</v>
      </c>
      <c r="B671" t="s">
        <v>16</v>
      </c>
      <c r="C671" t="s">
        <v>12</v>
      </c>
      <c r="D671">
        <v>21140</v>
      </c>
      <c r="E671">
        <v>697</v>
      </c>
      <c r="F671">
        <v>14734580</v>
      </c>
      <c r="G671">
        <v>657</v>
      </c>
      <c r="H671">
        <v>845600</v>
      </c>
      <c r="I671" t="s">
        <v>17</v>
      </c>
      <c r="J671">
        <v>488565</v>
      </c>
      <c r="K671">
        <v>467425</v>
      </c>
    </row>
    <row r="672" spans="1:11" x14ac:dyDescent="0.25">
      <c r="A672" s="1">
        <v>45640</v>
      </c>
      <c r="B672" t="s">
        <v>16</v>
      </c>
      <c r="C672" t="s">
        <v>14</v>
      </c>
      <c r="D672">
        <v>23630</v>
      </c>
      <c r="E672">
        <v>889</v>
      </c>
      <c r="F672">
        <v>21007070</v>
      </c>
      <c r="G672">
        <v>839</v>
      </c>
      <c r="H672">
        <v>1181500</v>
      </c>
      <c r="I672" t="s">
        <v>17</v>
      </c>
      <c r="J672">
        <v>244789</v>
      </c>
      <c r="K672">
        <v>221159</v>
      </c>
    </row>
    <row r="673" spans="1:11" x14ac:dyDescent="0.25">
      <c r="A673" s="1">
        <v>45640</v>
      </c>
      <c r="B673" t="s">
        <v>16</v>
      </c>
      <c r="C673" t="s">
        <v>15</v>
      </c>
      <c r="D673">
        <v>46086</v>
      </c>
      <c r="E673">
        <v>591</v>
      </c>
      <c r="F673">
        <v>27236826</v>
      </c>
      <c r="G673">
        <v>557</v>
      </c>
      <c r="H673">
        <v>1566924</v>
      </c>
      <c r="I673" t="s">
        <v>13</v>
      </c>
      <c r="J673">
        <v>291088</v>
      </c>
      <c r="K673">
        <v>245002</v>
      </c>
    </row>
    <row r="674" spans="1:11" x14ac:dyDescent="0.25">
      <c r="A674" s="1">
        <v>45640</v>
      </c>
      <c r="B674" t="s">
        <v>18</v>
      </c>
      <c r="C674" t="s">
        <v>12</v>
      </c>
      <c r="D674">
        <v>66099</v>
      </c>
      <c r="E674">
        <v>640</v>
      </c>
      <c r="F674">
        <v>42303360</v>
      </c>
      <c r="G674">
        <v>565</v>
      </c>
      <c r="H674">
        <v>4957425</v>
      </c>
      <c r="I674" t="s">
        <v>13</v>
      </c>
      <c r="J674">
        <v>360761</v>
      </c>
      <c r="K674">
        <v>294662</v>
      </c>
    </row>
    <row r="675" spans="1:11" x14ac:dyDescent="0.25">
      <c r="A675" s="1">
        <v>45640</v>
      </c>
      <c r="B675" t="s">
        <v>18</v>
      </c>
      <c r="C675" t="s">
        <v>14</v>
      </c>
      <c r="D675">
        <v>33893</v>
      </c>
      <c r="E675">
        <v>766</v>
      </c>
      <c r="F675">
        <v>25962038</v>
      </c>
      <c r="G675">
        <v>718</v>
      </c>
      <c r="H675">
        <v>1626864</v>
      </c>
      <c r="I675" t="s">
        <v>13</v>
      </c>
      <c r="J675">
        <v>330351</v>
      </c>
      <c r="K675">
        <v>296458</v>
      </c>
    </row>
    <row r="676" spans="1:11" x14ac:dyDescent="0.25">
      <c r="A676" s="1">
        <v>45640</v>
      </c>
      <c r="B676" t="s">
        <v>18</v>
      </c>
      <c r="C676" t="s">
        <v>15</v>
      </c>
      <c r="D676">
        <v>58635</v>
      </c>
      <c r="E676">
        <v>551</v>
      </c>
      <c r="F676">
        <v>32307885</v>
      </c>
      <c r="G676">
        <v>490</v>
      </c>
      <c r="H676">
        <v>3576735</v>
      </c>
      <c r="I676" t="s">
        <v>17</v>
      </c>
      <c r="J676">
        <v>272805</v>
      </c>
      <c r="K676">
        <v>214170</v>
      </c>
    </row>
    <row r="677" spans="1:11" x14ac:dyDescent="0.25">
      <c r="A677" s="1">
        <v>45641</v>
      </c>
      <c r="B677" t="s">
        <v>11</v>
      </c>
      <c r="C677" t="s">
        <v>12</v>
      </c>
      <c r="D677">
        <v>48064</v>
      </c>
      <c r="E677">
        <v>661</v>
      </c>
      <c r="F677">
        <v>31770304</v>
      </c>
      <c r="G677">
        <v>608</v>
      </c>
      <c r="H677">
        <v>2547392</v>
      </c>
      <c r="I677" t="s">
        <v>17</v>
      </c>
      <c r="J677">
        <v>464598</v>
      </c>
      <c r="K677">
        <v>416534</v>
      </c>
    </row>
    <row r="678" spans="1:11" x14ac:dyDescent="0.25">
      <c r="A678" s="1">
        <v>45641</v>
      </c>
      <c r="B678" t="s">
        <v>11</v>
      </c>
      <c r="C678" t="s">
        <v>14</v>
      </c>
      <c r="D678">
        <v>71098</v>
      </c>
      <c r="E678">
        <v>831</v>
      </c>
      <c r="F678">
        <v>59082438</v>
      </c>
      <c r="G678">
        <v>774</v>
      </c>
      <c r="H678">
        <v>4052586</v>
      </c>
      <c r="I678" t="s">
        <v>17</v>
      </c>
      <c r="J678">
        <v>218354</v>
      </c>
      <c r="K678">
        <v>147256</v>
      </c>
    </row>
    <row r="679" spans="1:11" x14ac:dyDescent="0.25">
      <c r="A679" s="1">
        <v>45641</v>
      </c>
      <c r="B679" t="s">
        <v>11</v>
      </c>
      <c r="C679" t="s">
        <v>15</v>
      </c>
      <c r="D679">
        <v>26142</v>
      </c>
      <c r="E679">
        <v>503</v>
      </c>
      <c r="F679">
        <v>13149426</v>
      </c>
      <c r="G679">
        <v>467</v>
      </c>
      <c r="H679">
        <v>941112</v>
      </c>
      <c r="I679" t="s">
        <v>13</v>
      </c>
      <c r="J679">
        <v>384482</v>
      </c>
      <c r="K679">
        <v>358340</v>
      </c>
    </row>
    <row r="680" spans="1:11" x14ac:dyDescent="0.25">
      <c r="A680" s="1">
        <v>45641</v>
      </c>
      <c r="B680" t="s">
        <v>16</v>
      </c>
      <c r="C680" t="s">
        <v>12</v>
      </c>
      <c r="D680">
        <v>68456</v>
      </c>
      <c r="E680">
        <v>671</v>
      </c>
      <c r="F680">
        <v>45933976</v>
      </c>
      <c r="G680">
        <v>597</v>
      </c>
      <c r="H680">
        <v>5065744</v>
      </c>
      <c r="I680" t="s">
        <v>17</v>
      </c>
      <c r="J680">
        <v>470160</v>
      </c>
      <c r="K680">
        <v>401704</v>
      </c>
    </row>
    <row r="681" spans="1:11" x14ac:dyDescent="0.25">
      <c r="A681" s="1">
        <v>45641</v>
      </c>
      <c r="B681" t="s">
        <v>16</v>
      </c>
      <c r="C681" t="s">
        <v>14</v>
      </c>
      <c r="D681">
        <v>82320</v>
      </c>
      <c r="E681">
        <v>845</v>
      </c>
      <c r="F681">
        <v>69560400</v>
      </c>
      <c r="G681">
        <v>808</v>
      </c>
      <c r="H681">
        <v>3045840</v>
      </c>
      <c r="I681" t="s">
        <v>13</v>
      </c>
      <c r="J681">
        <v>240510</v>
      </c>
      <c r="K681">
        <v>158190</v>
      </c>
    </row>
    <row r="682" spans="1:11" x14ac:dyDescent="0.25">
      <c r="A682" s="1">
        <v>45641</v>
      </c>
      <c r="B682" t="s">
        <v>16</v>
      </c>
      <c r="C682" t="s">
        <v>15</v>
      </c>
      <c r="D682">
        <v>41826</v>
      </c>
      <c r="E682">
        <v>558</v>
      </c>
      <c r="F682">
        <v>23338908</v>
      </c>
      <c r="G682">
        <v>524</v>
      </c>
      <c r="H682">
        <v>1422084</v>
      </c>
      <c r="I682" t="s">
        <v>17</v>
      </c>
      <c r="J682">
        <v>442700</v>
      </c>
      <c r="K682">
        <v>400874</v>
      </c>
    </row>
    <row r="683" spans="1:11" x14ac:dyDescent="0.25">
      <c r="A683" s="1">
        <v>45641</v>
      </c>
      <c r="B683" t="s">
        <v>18</v>
      </c>
      <c r="C683" t="s">
        <v>12</v>
      </c>
      <c r="D683">
        <v>44045</v>
      </c>
      <c r="E683">
        <v>660</v>
      </c>
      <c r="F683">
        <v>29069700</v>
      </c>
      <c r="G683">
        <v>600</v>
      </c>
      <c r="H683">
        <v>2642700</v>
      </c>
      <c r="I683" t="s">
        <v>13</v>
      </c>
      <c r="J683">
        <v>290102</v>
      </c>
      <c r="K683">
        <v>246057</v>
      </c>
    </row>
    <row r="684" spans="1:11" x14ac:dyDescent="0.25">
      <c r="A684" s="1">
        <v>45641</v>
      </c>
      <c r="B684" t="s">
        <v>18</v>
      </c>
      <c r="C684" t="s">
        <v>14</v>
      </c>
      <c r="D684">
        <v>47103</v>
      </c>
      <c r="E684">
        <v>771</v>
      </c>
      <c r="F684">
        <v>36316413</v>
      </c>
      <c r="G684">
        <v>713</v>
      </c>
      <c r="H684">
        <v>2731974</v>
      </c>
      <c r="I684" t="s">
        <v>17</v>
      </c>
      <c r="J684">
        <v>336917</v>
      </c>
      <c r="K684">
        <v>289814</v>
      </c>
    </row>
    <row r="685" spans="1:11" x14ac:dyDescent="0.25">
      <c r="A685" s="1">
        <v>45641</v>
      </c>
      <c r="B685" t="s">
        <v>18</v>
      </c>
      <c r="C685" t="s">
        <v>15</v>
      </c>
      <c r="D685">
        <v>56674</v>
      </c>
      <c r="E685">
        <v>553</v>
      </c>
      <c r="F685">
        <v>31340722</v>
      </c>
      <c r="G685">
        <v>514</v>
      </c>
      <c r="H685">
        <v>2210286</v>
      </c>
      <c r="I685" t="s">
        <v>13</v>
      </c>
      <c r="J685">
        <v>353385</v>
      </c>
      <c r="K685">
        <v>296711</v>
      </c>
    </row>
    <row r="686" spans="1:11" x14ac:dyDescent="0.25">
      <c r="A686" s="1">
        <v>45642</v>
      </c>
      <c r="B686" t="s">
        <v>11</v>
      </c>
      <c r="C686" t="s">
        <v>12</v>
      </c>
      <c r="D686">
        <v>20276</v>
      </c>
      <c r="E686">
        <v>679</v>
      </c>
      <c r="F686">
        <v>13767404</v>
      </c>
      <c r="G686">
        <v>638</v>
      </c>
      <c r="H686">
        <v>831316</v>
      </c>
      <c r="I686" t="s">
        <v>13</v>
      </c>
      <c r="J686">
        <v>343016</v>
      </c>
      <c r="K686">
        <v>322740</v>
      </c>
    </row>
    <row r="687" spans="1:11" x14ac:dyDescent="0.25">
      <c r="A687" s="1">
        <v>45642</v>
      </c>
      <c r="B687" t="s">
        <v>11</v>
      </c>
      <c r="C687" t="s">
        <v>14</v>
      </c>
      <c r="D687">
        <v>69847</v>
      </c>
      <c r="E687">
        <v>779</v>
      </c>
      <c r="F687">
        <v>54410813</v>
      </c>
      <c r="G687">
        <v>720</v>
      </c>
      <c r="H687">
        <v>4120973</v>
      </c>
      <c r="I687" t="s">
        <v>17</v>
      </c>
      <c r="J687">
        <v>489954</v>
      </c>
      <c r="K687">
        <v>420107</v>
      </c>
    </row>
    <row r="688" spans="1:11" x14ac:dyDescent="0.25">
      <c r="A688" s="1">
        <v>45642</v>
      </c>
      <c r="B688" t="s">
        <v>11</v>
      </c>
      <c r="C688" t="s">
        <v>15</v>
      </c>
      <c r="D688">
        <v>30503</v>
      </c>
      <c r="E688">
        <v>525</v>
      </c>
      <c r="F688">
        <v>16014075</v>
      </c>
      <c r="G688">
        <v>447</v>
      </c>
      <c r="H688">
        <v>2379234</v>
      </c>
      <c r="I688" t="s">
        <v>13</v>
      </c>
      <c r="J688">
        <v>473734</v>
      </c>
      <c r="K688">
        <v>443231</v>
      </c>
    </row>
    <row r="689" spans="1:11" x14ac:dyDescent="0.25">
      <c r="A689" s="1">
        <v>45642</v>
      </c>
      <c r="B689" t="s">
        <v>16</v>
      </c>
      <c r="C689" t="s">
        <v>12</v>
      </c>
      <c r="D689">
        <v>30886</v>
      </c>
      <c r="E689">
        <v>666</v>
      </c>
      <c r="F689">
        <v>20570076</v>
      </c>
      <c r="G689">
        <v>636</v>
      </c>
      <c r="H689">
        <v>926580</v>
      </c>
      <c r="I689" t="s">
        <v>17</v>
      </c>
      <c r="J689">
        <v>363864</v>
      </c>
      <c r="K689">
        <v>332978</v>
      </c>
    </row>
    <row r="690" spans="1:11" x14ac:dyDescent="0.25">
      <c r="A690" s="1">
        <v>45642</v>
      </c>
      <c r="B690" t="s">
        <v>16</v>
      </c>
      <c r="C690" t="s">
        <v>14</v>
      </c>
      <c r="D690">
        <v>62727</v>
      </c>
      <c r="E690">
        <v>885</v>
      </c>
      <c r="F690">
        <v>55513395</v>
      </c>
      <c r="G690">
        <v>851</v>
      </c>
      <c r="H690">
        <v>2132718</v>
      </c>
      <c r="I690" t="s">
        <v>13</v>
      </c>
      <c r="J690">
        <v>316923</v>
      </c>
      <c r="K690">
        <v>254196</v>
      </c>
    </row>
    <row r="691" spans="1:11" x14ac:dyDescent="0.25">
      <c r="A691" s="1">
        <v>45642</v>
      </c>
      <c r="B691" t="s">
        <v>16</v>
      </c>
      <c r="C691" t="s">
        <v>15</v>
      </c>
      <c r="D691">
        <v>61160</v>
      </c>
      <c r="E691">
        <v>500</v>
      </c>
      <c r="F691">
        <v>30580000</v>
      </c>
      <c r="G691">
        <v>435</v>
      </c>
      <c r="H691">
        <v>3975400</v>
      </c>
      <c r="I691" t="s">
        <v>13</v>
      </c>
      <c r="J691">
        <v>346110</v>
      </c>
      <c r="K691">
        <v>284950</v>
      </c>
    </row>
    <row r="692" spans="1:11" x14ac:dyDescent="0.25">
      <c r="A692" s="1">
        <v>45642</v>
      </c>
      <c r="B692" t="s">
        <v>18</v>
      </c>
      <c r="C692" t="s">
        <v>12</v>
      </c>
      <c r="D692">
        <v>41281</v>
      </c>
      <c r="E692">
        <v>645</v>
      </c>
      <c r="F692">
        <v>26626245</v>
      </c>
      <c r="G692">
        <v>602</v>
      </c>
      <c r="H692">
        <v>1775083</v>
      </c>
      <c r="I692" t="s">
        <v>13</v>
      </c>
      <c r="J692">
        <v>322115</v>
      </c>
      <c r="K692">
        <v>280834</v>
      </c>
    </row>
    <row r="693" spans="1:11" x14ac:dyDescent="0.25">
      <c r="A693" s="1">
        <v>45642</v>
      </c>
      <c r="B693" t="s">
        <v>18</v>
      </c>
      <c r="C693" t="s">
        <v>14</v>
      </c>
      <c r="D693">
        <v>21381</v>
      </c>
      <c r="E693">
        <v>824</v>
      </c>
      <c r="F693">
        <v>17617944</v>
      </c>
      <c r="G693">
        <v>760</v>
      </c>
      <c r="H693">
        <v>1368384</v>
      </c>
      <c r="I693" t="s">
        <v>17</v>
      </c>
      <c r="J693">
        <v>449415</v>
      </c>
      <c r="K693">
        <v>428034</v>
      </c>
    </row>
    <row r="694" spans="1:11" x14ac:dyDescent="0.25">
      <c r="A694" s="1">
        <v>45642</v>
      </c>
      <c r="B694" t="s">
        <v>18</v>
      </c>
      <c r="C694" t="s">
        <v>15</v>
      </c>
      <c r="D694">
        <v>61869</v>
      </c>
      <c r="E694">
        <v>559</v>
      </c>
      <c r="F694">
        <v>34584771</v>
      </c>
      <c r="G694">
        <v>517</v>
      </c>
      <c r="H694">
        <v>2598498</v>
      </c>
      <c r="I694" t="s">
        <v>13</v>
      </c>
      <c r="J694">
        <v>441324</v>
      </c>
      <c r="K694">
        <v>379455</v>
      </c>
    </row>
    <row r="695" spans="1:11" x14ac:dyDescent="0.25">
      <c r="A695" s="1">
        <v>45643</v>
      </c>
      <c r="B695" t="s">
        <v>11</v>
      </c>
      <c r="C695" t="s">
        <v>12</v>
      </c>
      <c r="D695">
        <v>87628</v>
      </c>
      <c r="E695">
        <v>660</v>
      </c>
      <c r="F695">
        <v>57834480</v>
      </c>
      <c r="G695">
        <v>612</v>
      </c>
      <c r="H695">
        <v>4206144</v>
      </c>
      <c r="I695" t="s">
        <v>13</v>
      </c>
      <c r="J695">
        <v>405157</v>
      </c>
      <c r="K695">
        <v>317529</v>
      </c>
    </row>
    <row r="696" spans="1:11" x14ac:dyDescent="0.25">
      <c r="A696" s="1">
        <v>45643</v>
      </c>
      <c r="B696" t="s">
        <v>11</v>
      </c>
      <c r="C696" t="s">
        <v>14</v>
      </c>
      <c r="D696">
        <v>79766</v>
      </c>
      <c r="E696">
        <v>873</v>
      </c>
      <c r="F696">
        <v>69635718</v>
      </c>
      <c r="G696">
        <v>828</v>
      </c>
      <c r="H696">
        <v>3589470</v>
      </c>
      <c r="I696" t="s">
        <v>13</v>
      </c>
      <c r="J696">
        <v>436731</v>
      </c>
      <c r="K696">
        <v>356965</v>
      </c>
    </row>
    <row r="697" spans="1:11" x14ac:dyDescent="0.25">
      <c r="A697" s="1">
        <v>45643</v>
      </c>
      <c r="B697" t="s">
        <v>11</v>
      </c>
      <c r="C697" t="s">
        <v>15</v>
      </c>
      <c r="D697">
        <v>66092</v>
      </c>
      <c r="E697">
        <v>555</v>
      </c>
      <c r="F697">
        <v>36681060</v>
      </c>
      <c r="G697">
        <v>479</v>
      </c>
      <c r="H697">
        <v>5022992</v>
      </c>
      <c r="I697" t="s">
        <v>13</v>
      </c>
      <c r="J697">
        <v>427230</v>
      </c>
      <c r="K697">
        <v>361138</v>
      </c>
    </row>
    <row r="698" spans="1:11" x14ac:dyDescent="0.25">
      <c r="A698" s="1">
        <v>45643</v>
      </c>
      <c r="B698" t="s">
        <v>16</v>
      </c>
      <c r="C698" t="s">
        <v>12</v>
      </c>
      <c r="D698">
        <v>88487</v>
      </c>
      <c r="E698">
        <v>686</v>
      </c>
      <c r="F698">
        <v>60702082</v>
      </c>
      <c r="G698">
        <v>643</v>
      </c>
      <c r="H698">
        <v>3804941</v>
      </c>
      <c r="I698" t="s">
        <v>17</v>
      </c>
      <c r="J698">
        <v>435062</v>
      </c>
      <c r="K698">
        <v>346575</v>
      </c>
    </row>
    <row r="699" spans="1:11" x14ac:dyDescent="0.25">
      <c r="A699" s="1">
        <v>45643</v>
      </c>
      <c r="B699" t="s">
        <v>16</v>
      </c>
      <c r="C699" t="s">
        <v>14</v>
      </c>
      <c r="D699">
        <v>43782</v>
      </c>
      <c r="E699">
        <v>802</v>
      </c>
      <c r="F699">
        <v>35113164</v>
      </c>
      <c r="G699">
        <v>734</v>
      </c>
      <c r="H699">
        <v>2977176</v>
      </c>
      <c r="I699" t="s">
        <v>17</v>
      </c>
      <c r="J699">
        <v>329936</v>
      </c>
      <c r="K699">
        <v>286154</v>
      </c>
    </row>
    <row r="700" spans="1:11" x14ac:dyDescent="0.25">
      <c r="A700" s="1">
        <v>45643</v>
      </c>
      <c r="B700" t="s">
        <v>16</v>
      </c>
      <c r="C700" t="s">
        <v>15</v>
      </c>
      <c r="D700">
        <v>42173</v>
      </c>
      <c r="E700">
        <v>552</v>
      </c>
      <c r="F700">
        <v>23279496</v>
      </c>
      <c r="G700">
        <v>510</v>
      </c>
      <c r="H700">
        <v>1771266</v>
      </c>
      <c r="I700" t="s">
        <v>17</v>
      </c>
      <c r="J700">
        <v>322258</v>
      </c>
      <c r="K700">
        <v>280085</v>
      </c>
    </row>
    <row r="701" spans="1:11" x14ac:dyDescent="0.25">
      <c r="A701" s="1">
        <v>45643</v>
      </c>
      <c r="B701" t="s">
        <v>18</v>
      </c>
      <c r="C701" t="s">
        <v>12</v>
      </c>
      <c r="D701">
        <v>81202</v>
      </c>
      <c r="E701">
        <v>656</v>
      </c>
      <c r="F701">
        <v>53268512</v>
      </c>
      <c r="G701">
        <v>602</v>
      </c>
      <c r="H701">
        <v>4384908</v>
      </c>
      <c r="I701" t="s">
        <v>17</v>
      </c>
      <c r="J701">
        <v>478710</v>
      </c>
      <c r="K701">
        <v>397508</v>
      </c>
    </row>
    <row r="702" spans="1:11" x14ac:dyDescent="0.25">
      <c r="A702" s="1">
        <v>45643</v>
      </c>
      <c r="B702" t="s">
        <v>18</v>
      </c>
      <c r="C702" t="s">
        <v>14</v>
      </c>
      <c r="D702">
        <v>58333</v>
      </c>
      <c r="E702">
        <v>823</v>
      </c>
      <c r="F702">
        <v>48008059</v>
      </c>
      <c r="G702">
        <v>784</v>
      </c>
      <c r="H702">
        <v>2274987</v>
      </c>
      <c r="I702" t="s">
        <v>13</v>
      </c>
      <c r="J702">
        <v>289571</v>
      </c>
      <c r="K702">
        <v>231238</v>
      </c>
    </row>
    <row r="703" spans="1:11" x14ac:dyDescent="0.25">
      <c r="A703" s="1">
        <v>45643</v>
      </c>
      <c r="B703" t="s">
        <v>18</v>
      </c>
      <c r="C703" t="s">
        <v>15</v>
      </c>
      <c r="D703">
        <v>21589</v>
      </c>
      <c r="E703">
        <v>551</v>
      </c>
      <c r="F703">
        <v>11895539</v>
      </c>
      <c r="G703">
        <v>502</v>
      </c>
      <c r="H703">
        <v>1057861</v>
      </c>
      <c r="I703" t="s">
        <v>13</v>
      </c>
      <c r="J703">
        <v>200159</v>
      </c>
      <c r="K703">
        <v>178570</v>
      </c>
    </row>
    <row r="704" spans="1:11" x14ac:dyDescent="0.25">
      <c r="A704" s="1">
        <v>45644</v>
      </c>
      <c r="B704" t="s">
        <v>11</v>
      </c>
      <c r="C704" t="s">
        <v>12</v>
      </c>
      <c r="D704">
        <v>51921</v>
      </c>
      <c r="E704">
        <v>627</v>
      </c>
      <c r="F704">
        <v>32554467</v>
      </c>
      <c r="G704">
        <v>552</v>
      </c>
      <c r="H704">
        <v>3894075</v>
      </c>
      <c r="I704" t="s">
        <v>17</v>
      </c>
      <c r="J704">
        <v>307507</v>
      </c>
      <c r="K704">
        <v>255586</v>
      </c>
    </row>
    <row r="705" spans="1:11" x14ac:dyDescent="0.25">
      <c r="A705" s="1">
        <v>45644</v>
      </c>
      <c r="B705" t="s">
        <v>11</v>
      </c>
      <c r="C705" t="s">
        <v>14</v>
      </c>
      <c r="D705">
        <v>34743</v>
      </c>
      <c r="E705">
        <v>828</v>
      </c>
      <c r="F705">
        <v>28767204</v>
      </c>
      <c r="G705">
        <v>777</v>
      </c>
      <c r="H705">
        <v>1771893</v>
      </c>
      <c r="I705" t="s">
        <v>17</v>
      </c>
      <c r="J705">
        <v>442717</v>
      </c>
      <c r="K705">
        <v>407974</v>
      </c>
    </row>
    <row r="706" spans="1:11" x14ac:dyDescent="0.25">
      <c r="A706" s="1">
        <v>45644</v>
      </c>
      <c r="B706" t="s">
        <v>11</v>
      </c>
      <c r="C706" t="s">
        <v>15</v>
      </c>
      <c r="D706">
        <v>76378</v>
      </c>
      <c r="E706">
        <v>586</v>
      </c>
      <c r="F706">
        <v>44757508</v>
      </c>
      <c r="G706">
        <v>549</v>
      </c>
      <c r="H706">
        <v>2825986</v>
      </c>
      <c r="I706" t="s">
        <v>13</v>
      </c>
      <c r="J706">
        <v>402193</v>
      </c>
      <c r="K706">
        <v>325815</v>
      </c>
    </row>
    <row r="707" spans="1:11" x14ac:dyDescent="0.25">
      <c r="A707" s="1">
        <v>45644</v>
      </c>
      <c r="B707" t="s">
        <v>16</v>
      </c>
      <c r="C707" t="s">
        <v>12</v>
      </c>
      <c r="D707">
        <v>32237</v>
      </c>
      <c r="E707">
        <v>633</v>
      </c>
      <c r="F707">
        <v>20406021</v>
      </c>
      <c r="G707">
        <v>586</v>
      </c>
      <c r="H707">
        <v>1515139</v>
      </c>
      <c r="I707" t="s">
        <v>13</v>
      </c>
      <c r="J707">
        <v>404535</v>
      </c>
      <c r="K707">
        <v>372298</v>
      </c>
    </row>
    <row r="708" spans="1:11" x14ac:dyDescent="0.25">
      <c r="A708" s="1">
        <v>45644</v>
      </c>
      <c r="B708" t="s">
        <v>16</v>
      </c>
      <c r="C708" t="s">
        <v>14</v>
      </c>
      <c r="D708">
        <v>68766</v>
      </c>
      <c r="E708">
        <v>824</v>
      </c>
      <c r="F708">
        <v>56663184</v>
      </c>
      <c r="G708">
        <v>754</v>
      </c>
      <c r="H708">
        <v>4813620</v>
      </c>
      <c r="I708" t="s">
        <v>17</v>
      </c>
      <c r="J708">
        <v>254238</v>
      </c>
      <c r="K708">
        <v>185472</v>
      </c>
    </row>
    <row r="709" spans="1:11" x14ac:dyDescent="0.25">
      <c r="A709" s="1">
        <v>45644</v>
      </c>
      <c r="B709" t="s">
        <v>16</v>
      </c>
      <c r="C709" t="s">
        <v>15</v>
      </c>
      <c r="D709">
        <v>51897</v>
      </c>
      <c r="E709">
        <v>517</v>
      </c>
      <c r="F709">
        <v>26830749</v>
      </c>
      <c r="G709">
        <v>456</v>
      </c>
      <c r="H709">
        <v>3165717</v>
      </c>
      <c r="I709" t="s">
        <v>17</v>
      </c>
      <c r="J709">
        <v>489061</v>
      </c>
      <c r="K709">
        <v>437164</v>
      </c>
    </row>
    <row r="710" spans="1:11" x14ac:dyDescent="0.25">
      <c r="A710" s="1">
        <v>45644</v>
      </c>
      <c r="B710" t="s">
        <v>18</v>
      </c>
      <c r="C710" t="s">
        <v>12</v>
      </c>
      <c r="D710">
        <v>47990</v>
      </c>
      <c r="E710">
        <v>687</v>
      </c>
      <c r="F710">
        <v>32969130</v>
      </c>
      <c r="G710">
        <v>608</v>
      </c>
      <c r="H710">
        <v>3791210</v>
      </c>
      <c r="I710" t="s">
        <v>17</v>
      </c>
      <c r="J710">
        <v>410695</v>
      </c>
      <c r="K710">
        <v>362705</v>
      </c>
    </row>
    <row r="711" spans="1:11" x14ac:dyDescent="0.25">
      <c r="A711" s="1">
        <v>45644</v>
      </c>
      <c r="B711" t="s">
        <v>18</v>
      </c>
      <c r="C711" t="s">
        <v>14</v>
      </c>
      <c r="D711">
        <v>55205</v>
      </c>
      <c r="E711">
        <v>818</v>
      </c>
      <c r="F711">
        <v>45157690</v>
      </c>
      <c r="G711">
        <v>745</v>
      </c>
      <c r="H711">
        <v>4029965</v>
      </c>
      <c r="I711" t="s">
        <v>13</v>
      </c>
      <c r="J711">
        <v>454840</v>
      </c>
      <c r="K711">
        <v>399635</v>
      </c>
    </row>
    <row r="712" spans="1:11" x14ac:dyDescent="0.25">
      <c r="A712" s="1">
        <v>45644</v>
      </c>
      <c r="B712" t="s">
        <v>18</v>
      </c>
      <c r="C712" t="s">
        <v>15</v>
      </c>
      <c r="D712">
        <v>61627</v>
      </c>
      <c r="E712">
        <v>510</v>
      </c>
      <c r="F712">
        <v>31429770</v>
      </c>
      <c r="G712">
        <v>480</v>
      </c>
      <c r="H712">
        <v>1848810</v>
      </c>
      <c r="I712" t="s">
        <v>17</v>
      </c>
      <c r="J712">
        <v>402346</v>
      </c>
      <c r="K712">
        <v>340719</v>
      </c>
    </row>
    <row r="713" spans="1:11" x14ac:dyDescent="0.25">
      <c r="A713" s="1">
        <v>45645</v>
      </c>
      <c r="B713" t="s">
        <v>11</v>
      </c>
      <c r="C713" t="s">
        <v>12</v>
      </c>
      <c r="D713">
        <v>73384</v>
      </c>
      <c r="E713">
        <v>626</v>
      </c>
      <c r="F713">
        <v>45938384</v>
      </c>
      <c r="G713">
        <v>563</v>
      </c>
      <c r="H713">
        <v>4623192</v>
      </c>
      <c r="I713" t="s">
        <v>13</v>
      </c>
      <c r="J713">
        <v>336643</v>
      </c>
      <c r="K713">
        <v>263259</v>
      </c>
    </row>
    <row r="714" spans="1:11" x14ac:dyDescent="0.25">
      <c r="A714" s="1">
        <v>45645</v>
      </c>
      <c r="B714" t="s">
        <v>11</v>
      </c>
      <c r="C714" t="s">
        <v>14</v>
      </c>
      <c r="D714">
        <v>36209</v>
      </c>
      <c r="E714">
        <v>892</v>
      </c>
      <c r="F714">
        <v>32298428</v>
      </c>
      <c r="G714">
        <v>850</v>
      </c>
      <c r="H714">
        <v>1520778</v>
      </c>
      <c r="I714" t="s">
        <v>17</v>
      </c>
      <c r="J714">
        <v>291218</v>
      </c>
      <c r="K714">
        <v>255009</v>
      </c>
    </row>
    <row r="715" spans="1:11" x14ac:dyDescent="0.25">
      <c r="A715" s="1">
        <v>45645</v>
      </c>
      <c r="B715" t="s">
        <v>11</v>
      </c>
      <c r="C715" t="s">
        <v>15</v>
      </c>
      <c r="D715">
        <v>68695</v>
      </c>
      <c r="E715">
        <v>575</v>
      </c>
      <c r="F715">
        <v>39499625</v>
      </c>
      <c r="G715">
        <v>509</v>
      </c>
      <c r="H715">
        <v>4533870</v>
      </c>
      <c r="I715" t="s">
        <v>13</v>
      </c>
      <c r="J715">
        <v>440016</v>
      </c>
      <c r="K715">
        <v>371321</v>
      </c>
    </row>
    <row r="716" spans="1:11" x14ac:dyDescent="0.25">
      <c r="A716" s="1">
        <v>45645</v>
      </c>
      <c r="B716" t="s">
        <v>16</v>
      </c>
      <c r="C716" t="s">
        <v>12</v>
      </c>
      <c r="D716">
        <v>59129</v>
      </c>
      <c r="E716">
        <v>628</v>
      </c>
      <c r="F716">
        <v>37133012</v>
      </c>
      <c r="G716">
        <v>566</v>
      </c>
      <c r="H716">
        <v>3665998</v>
      </c>
      <c r="I716" t="s">
        <v>17</v>
      </c>
      <c r="J716">
        <v>292122</v>
      </c>
      <c r="K716">
        <v>232993</v>
      </c>
    </row>
    <row r="717" spans="1:11" x14ac:dyDescent="0.25">
      <c r="A717" s="1">
        <v>45645</v>
      </c>
      <c r="B717" t="s">
        <v>16</v>
      </c>
      <c r="C717" t="s">
        <v>14</v>
      </c>
      <c r="D717">
        <v>43478</v>
      </c>
      <c r="E717">
        <v>887</v>
      </c>
      <c r="F717">
        <v>38564986</v>
      </c>
      <c r="G717">
        <v>811</v>
      </c>
      <c r="H717">
        <v>3304328</v>
      </c>
      <c r="I717" t="s">
        <v>17</v>
      </c>
      <c r="J717">
        <v>343252</v>
      </c>
      <c r="K717">
        <v>299774</v>
      </c>
    </row>
    <row r="718" spans="1:11" x14ac:dyDescent="0.25">
      <c r="A718" s="1">
        <v>45645</v>
      </c>
      <c r="B718" t="s">
        <v>16</v>
      </c>
      <c r="C718" t="s">
        <v>15</v>
      </c>
      <c r="D718">
        <v>35372</v>
      </c>
      <c r="E718">
        <v>532</v>
      </c>
      <c r="F718">
        <v>18817904</v>
      </c>
      <c r="G718">
        <v>479</v>
      </c>
      <c r="H718">
        <v>1874716</v>
      </c>
      <c r="I718" t="s">
        <v>17</v>
      </c>
      <c r="J718">
        <v>421035</v>
      </c>
      <c r="K718">
        <v>385663</v>
      </c>
    </row>
    <row r="719" spans="1:11" x14ac:dyDescent="0.25">
      <c r="A719" s="1">
        <v>45645</v>
      </c>
      <c r="B719" t="s">
        <v>18</v>
      </c>
      <c r="C719" t="s">
        <v>12</v>
      </c>
      <c r="D719">
        <v>74040</v>
      </c>
      <c r="E719">
        <v>693</v>
      </c>
      <c r="F719">
        <v>51309720</v>
      </c>
      <c r="G719">
        <v>655</v>
      </c>
      <c r="H719">
        <v>2813520</v>
      </c>
      <c r="I719" t="s">
        <v>13</v>
      </c>
      <c r="J719">
        <v>278356</v>
      </c>
      <c r="K719">
        <v>204316</v>
      </c>
    </row>
    <row r="720" spans="1:11" x14ac:dyDescent="0.25">
      <c r="A720" s="1">
        <v>45645</v>
      </c>
      <c r="B720" t="s">
        <v>18</v>
      </c>
      <c r="C720" t="s">
        <v>14</v>
      </c>
      <c r="D720">
        <v>25842</v>
      </c>
      <c r="E720">
        <v>889</v>
      </c>
      <c r="F720">
        <v>22973538</v>
      </c>
      <c r="G720">
        <v>823</v>
      </c>
      <c r="H720">
        <v>1705572</v>
      </c>
      <c r="I720" t="s">
        <v>13</v>
      </c>
      <c r="J720">
        <v>479652</v>
      </c>
      <c r="K720">
        <v>453810</v>
      </c>
    </row>
    <row r="721" spans="1:11" x14ac:dyDescent="0.25">
      <c r="A721" s="1">
        <v>45645</v>
      </c>
      <c r="B721" t="s">
        <v>18</v>
      </c>
      <c r="C721" t="s">
        <v>15</v>
      </c>
      <c r="D721">
        <v>74575</v>
      </c>
      <c r="E721">
        <v>527</v>
      </c>
      <c r="F721">
        <v>39301025</v>
      </c>
      <c r="G721">
        <v>457</v>
      </c>
      <c r="H721">
        <v>5220250</v>
      </c>
      <c r="I721" t="s">
        <v>17</v>
      </c>
      <c r="J721">
        <v>266914</v>
      </c>
      <c r="K721">
        <v>192339</v>
      </c>
    </row>
    <row r="722" spans="1:11" x14ac:dyDescent="0.25">
      <c r="A722" s="1">
        <v>45646</v>
      </c>
      <c r="B722" t="s">
        <v>11</v>
      </c>
      <c r="C722" t="s">
        <v>12</v>
      </c>
      <c r="D722">
        <v>87055</v>
      </c>
      <c r="E722">
        <v>617</v>
      </c>
      <c r="F722">
        <v>53712935</v>
      </c>
      <c r="G722">
        <v>574</v>
      </c>
      <c r="H722">
        <v>3743365</v>
      </c>
      <c r="I722" t="s">
        <v>13</v>
      </c>
      <c r="J722">
        <v>323106</v>
      </c>
      <c r="K722">
        <v>236051</v>
      </c>
    </row>
    <row r="723" spans="1:11" x14ac:dyDescent="0.25">
      <c r="A723" s="1">
        <v>45646</v>
      </c>
      <c r="B723" t="s">
        <v>11</v>
      </c>
      <c r="C723" t="s">
        <v>14</v>
      </c>
      <c r="D723">
        <v>74120</v>
      </c>
      <c r="E723">
        <v>873</v>
      </c>
      <c r="F723">
        <v>64706760</v>
      </c>
      <c r="G723">
        <v>837</v>
      </c>
      <c r="H723">
        <v>2668320</v>
      </c>
      <c r="I723" t="s">
        <v>17</v>
      </c>
      <c r="J723">
        <v>202257</v>
      </c>
      <c r="K723">
        <v>128137</v>
      </c>
    </row>
    <row r="724" spans="1:11" x14ac:dyDescent="0.25">
      <c r="A724" s="1">
        <v>45646</v>
      </c>
      <c r="B724" t="s">
        <v>11</v>
      </c>
      <c r="C724" t="s">
        <v>15</v>
      </c>
      <c r="D724">
        <v>44972</v>
      </c>
      <c r="E724">
        <v>599</v>
      </c>
      <c r="F724">
        <v>26938228</v>
      </c>
      <c r="G724">
        <v>539</v>
      </c>
      <c r="H724">
        <v>2698320</v>
      </c>
      <c r="I724" t="s">
        <v>13</v>
      </c>
      <c r="J724">
        <v>411841</v>
      </c>
      <c r="K724">
        <v>366869</v>
      </c>
    </row>
    <row r="725" spans="1:11" x14ac:dyDescent="0.25">
      <c r="A725" s="1">
        <v>45646</v>
      </c>
      <c r="B725" t="s">
        <v>16</v>
      </c>
      <c r="C725" t="s">
        <v>12</v>
      </c>
      <c r="D725">
        <v>49320</v>
      </c>
      <c r="E725">
        <v>672</v>
      </c>
      <c r="F725">
        <v>33143040</v>
      </c>
      <c r="G725">
        <v>605</v>
      </c>
      <c r="H725">
        <v>3304440</v>
      </c>
      <c r="I725" t="s">
        <v>13</v>
      </c>
      <c r="J725">
        <v>318581</v>
      </c>
      <c r="K725">
        <v>269261</v>
      </c>
    </row>
    <row r="726" spans="1:11" x14ac:dyDescent="0.25">
      <c r="A726" s="1">
        <v>45646</v>
      </c>
      <c r="B726" t="s">
        <v>16</v>
      </c>
      <c r="C726" t="s">
        <v>14</v>
      </c>
      <c r="D726">
        <v>54773</v>
      </c>
      <c r="E726">
        <v>849</v>
      </c>
      <c r="F726">
        <v>46502277</v>
      </c>
      <c r="G726">
        <v>775</v>
      </c>
      <c r="H726">
        <v>4053202</v>
      </c>
      <c r="I726" t="s">
        <v>13</v>
      </c>
      <c r="J726">
        <v>414764</v>
      </c>
      <c r="K726">
        <v>359991</v>
      </c>
    </row>
    <row r="727" spans="1:11" x14ac:dyDescent="0.25">
      <c r="A727" s="1">
        <v>45646</v>
      </c>
      <c r="B727" t="s">
        <v>16</v>
      </c>
      <c r="C727" t="s">
        <v>15</v>
      </c>
      <c r="D727">
        <v>38135</v>
      </c>
      <c r="E727">
        <v>507</v>
      </c>
      <c r="F727">
        <v>19334445</v>
      </c>
      <c r="G727">
        <v>471</v>
      </c>
      <c r="H727">
        <v>1372860</v>
      </c>
      <c r="I727" t="s">
        <v>13</v>
      </c>
      <c r="J727">
        <v>354626</v>
      </c>
      <c r="K727">
        <v>316491</v>
      </c>
    </row>
    <row r="728" spans="1:11" x14ac:dyDescent="0.25">
      <c r="A728" s="1">
        <v>45646</v>
      </c>
      <c r="B728" t="s">
        <v>18</v>
      </c>
      <c r="C728" t="s">
        <v>12</v>
      </c>
      <c r="D728">
        <v>75621</v>
      </c>
      <c r="E728">
        <v>643</v>
      </c>
      <c r="F728">
        <v>48624303</v>
      </c>
      <c r="G728">
        <v>593</v>
      </c>
      <c r="H728">
        <v>3781050</v>
      </c>
      <c r="I728" t="s">
        <v>13</v>
      </c>
      <c r="J728">
        <v>479067</v>
      </c>
      <c r="K728">
        <v>403446</v>
      </c>
    </row>
    <row r="729" spans="1:11" x14ac:dyDescent="0.25">
      <c r="A729" s="1">
        <v>45646</v>
      </c>
      <c r="B729" t="s">
        <v>18</v>
      </c>
      <c r="C729" t="s">
        <v>14</v>
      </c>
      <c r="D729">
        <v>82261</v>
      </c>
      <c r="E729">
        <v>814</v>
      </c>
      <c r="F729">
        <v>66960454</v>
      </c>
      <c r="G729">
        <v>749</v>
      </c>
      <c r="H729">
        <v>5346965</v>
      </c>
      <c r="I729" t="s">
        <v>13</v>
      </c>
      <c r="J729">
        <v>260948</v>
      </c>
      <c r="K729">
        <v>178687</v>
      </c>
    </row>
    <row r="730" spans="1:11" x14ac:dyDescent="0.25">
      <c r="A730" s="1">
        <v>45646</v>
      </c>
      <c r="B730" t="s">
        <v>18</v>
      </c>
      <c r="C730" t="s">
        <v>15</v>
      </c>
      <c r="D730">
        <v>53002</v>
      </c>
      <c r="E730">
        <v>598</v>
      </c>
      <c r="F730">
        <v>31695196</v>
      </c>
      <c r="G730">
        <v>556</v>
      </c>
      <c r="H730">
        <v>2226084</v>
      </c>
      <c r="I730" t="s">
        <v>13</v>
      </c>
      <c r="J730">
        <v>488816</v>
      </c>
      <c r="K730">
        <v>435814</v>
      </c>
    </row>
    <row r="731" spans="1:11" x14ac:dyDescent="0.25">
      <c r="A731" s="1">
        <v>45647</v>
      </c>
      <c r="B731" t="s">
        <v>11</v>
      </c>
      <c r="C731" t="s">
        <v>12</v>
      </c>
      <c r="D731">
        <v>30293</v>
      </c>
      <c r="E731">
        <v>609</v>
      </c>
      <c r="F731">
        <v>18448437</v>
      </c>
      <c r="G731">
        <v>536</v>
      </c>
      <c r="H731">
        <v>2211389</v>
      </c>
      <c r="I731" t="s">
        <v>17</v>
      </c>
      <c r="J731">
        <v>257134</v>
      </c>
      <c r="K731">
        <v>226841</v>
      </c>
    </row>
    <row r="732" spans="1:11" x14ac:dyDescent="0.25">
      <c r="A732" s="1">
        <v>45647</v>
      </c>
      <c r="B732" t="s">
        <v>11</v>
      </c>
      <c r="C732" t="s">
        <v>14</v>
      </c>
      <c r="D732">
        <v>81997</v>
      </c>
      <c r="E732">
        <v>762</v>
      </c>
      <c r="F732">
        <v>62481714</v>
      </c>
      <c r="G732">
        <v>696</v>
      </c>
      <c r="H732">
        <v>5411802</v>
      </c>
      <c r="I732" t="s">
        <v>13</v>
      </c>
      <c r="J732">
        <v>448933</v>
      </c>
      <c r="K732">
        <v>366936</v>
      </c>
    </row>
    <row r="733" spans="1:11" x14ac:dyDescent="0.25">
      <c r="A733" s="1">
        <v>45647</v>
      </c>
      <c r="B733" t="s">
        <v>11</v>
      </c>
      <c r="C733" t="s">
        <v>15</v>
      </c>
      <c r="D733">
        <v>56609</v>
      </c>
      <c r="E733">
        <v>585</v>
      </c>
      <c r="F733">
        <v>33116265</v>
      </c>
      <c r="G733">
        <v>539</v>
      </c>
      <c r="H733">
        <v>2604014</v>
      </c>
      <c r="I733" t="s">
        <v>17</v>
      </c>
      <c r="J733">
        <v>494025</v>
      </c>
      <c r="K733">
        <v>437416</v>
      </c>
    </row>
    <row r="734" spans="1:11" x14ac:dyDescent="0.25">
      <c r="A734" s="1">
        <v>45647</v>
      </c>
      <c r="B734" t="s">
        <v>16</v>
      </c>
      <c r="C734" t="s">
        <v>12</v>
      </c>
      <c r="D734">
        <v>44472</v>
      </c>
      <c r="E734">
        <v>602</v>
      </c>
      <c r="F734">
        <v>26772144</v>
      </c>
      <c r="G734">
        <v>526</v>
      </c>
      <c r="H734">
        <v>3379872</v>
      </c>
      <c r="I734" t="s">
        <v>17</v>
      </c>
      <c r="J734">
        <v>382885</v>
      </c>
      <c r="K734">
        <v>338413</v>
      </c>
    </row>
    <row r="735" spans="1:11" x14ac:dyDescent="0.25">
      <c r="A735" s="1">
        <v>45647</v>
      </c>
      <c r="B735" t="s">
        <v>16</v>
      </c>
      <c r="C735" t="s">
        <v>14</v>
      </c>
      <c r="D735">
        <v>56021</v>
      </c>
      <c r="E735">
        <v>865</v>
      </c>
      <c r="F735">
        <v>48458165</v>
      </c>
      <c r="G735">
        <v>812</v>
      </c>
      <c r="H735">
        <v>2969113</v>
      </c>
      <c r="I735" t="s">
        <v>17</v>
      </c>
      <c r="J735">
        <v>212828</v>
      </c>
      <c r="K735">
        <v>156807</v>
      </c>
    </row>
    <row r="736" spans="1:11" x14ac:dyDescent="0.25">
      <c r="A736" s="1">
        <v>45647</v>
      </c>
      <c r="B736" t="s">
        <v>16</v>
      </c>
      <c r="C736" t="s">
        <v>15</v>
      </c>
      <c r="D736">
        <v>21401</v>
      </c>
      <c r="E736">
        <v>559</v>
      </c>
      <c r="F736">
        <v>11963159</v>
      </c>
      <c r="G736">
        <v>504</v>
      </c>
      <c r="H736">
        <v>1177055</v>
      </c>
      <c r="I736" t="s">
        <v>17</v>
      </c>
      <c r="J736">
        <v>423461</v>
      </c>
      <c r="K736">
        <v>402060</v>
      </c>
    </row>
    <row r="737" spans="1:11" x14ac:dyDescent="0.25">
      <c r="A737" s="1">
        <v>45647</v>
      </c>
      <c r="B737" t="s">
        <v>18</v>
      </c>
      <c r="C737" t="s">
        <v>12</v>
      </c>
      <c r="D737">
        <v>40307</v>
      </c>
      <c r="E737">
        <v>627</v>
      </c>
      <c r="F737">
        <v>25272489</v>
      </c>
      <c r="G737">
        <v>582</v>
      </c>
      <c r="H737">
        <v>1813815</v>
      </c>
      <c r="I737" t="s">
        <v>13</v>
      </c>
      <c r="J737">
        <v>439719</v>
      </c>
      <c r="K737">
        <v>399412</v>
      </c>
    </row>
    <row r="738" spans="1:11" x14ac:dyDescent="0.25">
      <c r="A738" s="1">
        <v>45647</v>
      </c>
      <c r="B738" t="s">
        <v>18</v>
      </c>
      <c r="C738" t="s">
        <v>14</v>
      </c>
      <c r="D738">
        <v>22745</v>
      </c>
      <c r="E738">
        <v>776</v>
      </c>
      <c r="F738">
        <v>17650120</v>
      </c>
      <c r="G738">
        <v>705</v>
      </c>
      <c r="H738">
        <v>1614895</v>
      </c>
      <c r="I738" t="s">
        <v>17</v>
      </c>
      <c r="J738">
        <v>271354</v>
      </c>
      <c r="K738">
        <v>248609</v>
      </c>
    </row>
    <row r="739" spans="1:11" x14ac:dyDescent="0.25">
      <c r="A739" s="1">
        <v>45647</v>
      </c>
      <c r="B739" t="s">
        <v>18</v>
      </c>
      <c r="C739" t="s">
        <v>15</v>
      </c>
      <c r="D739">
        <v>50116</v>
      </c>
      <c r="E739">
        <v>505</v>
      </c>
      <c r="F739">
        <v>25308580</v>
      </c>
      <c r="G739">
        <v>469</v>
      </c>
      <c r="H739">
        <v>1804176</v>
      </c>
      <c r="I739" t="s">
        <v>17</v>
      </c>
      <c r="J739">
        <v>492575</v>
      </c>
      <c r="K739">
        <v>442459</v>
      </c>
    </row>
    <row r="740" spans="1:11" x14ac:dyDescent="0.25">
      <c r="A740" s="1">
        <v>45648</v>
      </c>
      <c r="B740" t="s">
        <v>11</v>
      </c>
      <c r="C740" t="s">
        <v>12</v>
      </c>
      <c r="D740">
        <v>49336</v>
      </c>
      <c r="E740">
        <v>632</v>
      </c>
      <c r="F740">
        <v>31180352</v>
      </c>
      <c r="G740">
        <v>596</v>
      </c>
      <c r="H740">
        <v>1776096</v>
      </c>
      <c r="I740" t="s">
        <v>13</v>
      </c>
      <c r="J740">
        <v>261240</v>
      </c>
      <c r="K740">
        <v>211904</v>
      </c>
    </row>
    <row r="741" spans="1:11" x14ac:dyDescent="0.25">
      <c r="A741" s="1">
        <v>45648</v>
      </c>
      <c r="B741" t="s">
        <v>11</v>
      </c>
      <c r="C741" t="s">
        <v>14</v>
      </c>
      <c r="D741">
        <v>26155</v>
      </c>
      <c r="E741">
        <v>765</v>
      </c>
      <c r="F741">
        <v>20008575</v>
      </c>
      <c r="G741">
        <v>720</v>
      </c>
      <c r="H741">
        <v>1176975</v>
      </c>
      <c r="I741" t="s">
        <v>13</v>
      </c>
      <c r="J741">
        <v>386740</v>
      </c>
      <c r="K741">
        <v>360585</v>
      </c>
    </row>
    <row r="742" spans="1:11" x14ac:dyDescent="0.25">
      <c r="A742" s="1">
        <v>45648</v>
      </c>
      <c r="B742" t="s">
        <v>11</v>
      </c>
      <c r="C742" t="s">
        <v>15</v>
      </c>
      <c r="D742">
        <v>70124</v>
      </c>
      <c r="E742">
        <v>506</v>
      </c>
      <c r="F742">
        <v>35482744</v>
      </c>
      <c r="G742">
        <v>441</v>
      </c>
      <c r="H742">
        <v>4558060</v>
      </c>
      <c r="I742" t="s">
        <v>17</v>
      </c>
      <c r="J742">
        <v>264110</v>
      </c>
      <c r="K742">
        <v>193986</v>
      </c>
    </row>
    <row r="743" spans="1:11" x14ac:dyDescent="0.25">
      <c r="A743" s="1">
        <v>45648</v>
      </c>
      <c r="B743" t="s">
        <v>16</v>
      </c>
      <c r="C743" t="s">
        <v>12</v>
      </c>
      <c r="D743">
        <v>40936</v>
      </c>
      <c r="E743">
        <v>631</v>
      </c>
      <c r="F743">
        <v>25830616</v>
      </c>
      <c r="G743">
        <v>591</v>
      </c>
      <c r="H743">
        <v>1637440</v>
      </c>
      <c r="I743" t="s">
        <v>17</v>
      </c>
      <c r="J743">
        <v>419911</v>
      </c>
      <c r="K743">
        <v>378975</v>
      </c>
    </row>
    <row r="744" spans="1:11" x14ac:dyDescent="0.25">
      <c r="A744" s="1">
        <v>45648</v>
      </c>
      <c r="B744" t="s">
        <v>16</v>
      </c>
      <c r="C744" t="s">
        <v>14</v>
      </c>
      <c r="D744">
        <v>47606</v>
      </c>
      <c r="E744">
        <v>794</v>
      </c>
      <c r="F744">
        <v>37799164</v>
      </c>
      <c r="G744">
        <v>743</v>
      </c>
      <c r="H744">
        <v>2427906</v>
      </c>
      <c r="I744" t="s">
        <v>13</v>
      </c>
      <c r="J744">
        <v>454595</v>
      </c>
      <c r="K744">
        <v>406989</v>
      </c>
    </row>
    <row r="745" spans="1:11" x14ac:dyDescent="0.25">
      <c r="A745" s="1">
        <v>45648</v>
      </c>
      <c r="B745" t="s">
        <v>16</v>
      </c>
      <c r="C745" t="s">
        <v>15</v>
      </c>
      <c r="D745">
        <v>22204</v>
      </c>
      <c r="E745">
        <v>597</v>
      </c>
      <c r="F745">
        <v>13255788</v>
      </c>
      <c r="G745">
        <v>534</v>
      </c>
      <c r="H745">
        <v>1398852</v>
      </c>
      <c r="I745" t="s">
        <v>17</v>
      </c>
      <c r="J745">
        <v>493275</v>
      </c>
      <c r="K745">
        <v>471071</v>
      </c>
    </row>
    <row r="746" spans="1:11" x14ac:dyDescent="0.25">
      <c r="A746" s="1">
        <v>45648</v>
      </c>
      <c r="B746" t="s">
        <v>18</v>
      </c>
      <c r="C746" t="s">
        <v>12</v>
      </c>
      <c r="D746">
        <v>53870</v>
      </c>
      <c r="E746">
        <v>686</v>
      </c>
      <c r="F746">
        <v>36954820</v>
      </c>
      <c r="G746">
        <v>613</v>
      </c>
      <c r="H746">
        <v>3932510</v>
      </c>
      <c r="I746" t="s">
        <v>13</v>
      </c>
      <c r="J746">
        <v>438083</v>
      </c>
      <c r="K746">
        <v>384213</v>
      </c>
    </row>
    <row r="747" spans="1:11" x14ac:dyDescent="0.25">
      <c r="A747" s="1">
        <v>45648</v>
      </c>
      <c r="B747" t="s">
        <v>18</v>
      </c>
      <c r="C747" t="s">
        <v>14</v>
      </c>
      <c r="D747">
        <v>41607</v>
      </c>
      <c r="E747">
        <v>886</v>
      </c>
      <c r="F747">
        <v>36863802</v>
      </c>
      <c r="G747">
        <v>852</v>
      </c>
      <c r="H747">
        <v>1414638</v>
      </c>
      <c r="I747" t="s">
        <v>17</v>
      </c>
      <c r="J747">
        <v>409329</v>
      </c>
      <c r="K747">
        <v>367722</v>
      </c>
    </row>
    <row r="748" spans="1:11" x14ac:dyDescent="0.25">
      <c r="A748" s="1">
        <v>45648</v>
      </c>
      <c r="B748" t="s">
        <v>18</v>
      </c>
      <c r="C748" t="s">
        <v>15</v>
      </c>
      <c r="D748">
        <v>81215</v>
      </c>
      <c r="E748">
        <v>527</v>
      </c>
      <c r="F748">
        <v>42800305</v>
      </c>
      <c r="G748">
        <v>476</v>
      </c>
      <c r="H748">
        <v>4141965</v>
      </c>
      <c r="I748" t="s">
        <v>17</v>
      </c>
      <c r="J748">
        <v>308048</v>
      </c>
      <c r="K748">
        <v>226833</v>
      </c>
    </row>
    <row r="749" spans="1:11" x14ac:dyDescent="0.25">
      <c r="A749" s="1">
        <v>45649</v>
      </c>
      <c r="B749" t="s">
        <v>11</v>
      </c>
      <c r="C749" t="s">
        <v>12</v>
      </c>
      <c r="D749">
        <v>66169</v>
      </c>
      <c r="E749">
        <v>670</v>
      </c>
      <c r="F749">
        <v>44333230</v>
      </c>
      <c r="G749">
        <v>599</v>
      </c>
      <c r="H749">
        <v>4697999</v>
      </c>
      <c r="I749" t="s">
        <v>13</v>
      </c>
      <c r="J749">
        <v>313688</v>
      </c>
      <c r="K749">
        <v>247519</v>
      </c>
    </row>
    <row r="750" spans="1:11" x14ac:dyDescent="0.25">
      <c r="A750" s="1">
        <v>45649</v>
      </c>
      <c r="B750" t="s">
        <v>11</v>
      </c>
      <c r="C750" t="s">
        <v>14</v>
      </c>
      <c r="D750">
        <v>75751</v>
      </c>
      <c r="E750">
        <v>853</v>
      </c>
      <c r="F750">
        <v>64615603</v>
      </c>
      <c r="G750">
        <v>820</v>
      </c>
      <c r="H750">
        <v>2499783</v>
      </c>
      <c r="I750" t="s">
        <v>13</v>
      </c>
      <c r="J750">
        <v>469150</v>
      </c>
      <c r="K750">
        <v>393399</v>
      </c>
    </row>
    <row r="751" spans="1:11" x14ac:dyDescent="0.25">
      <c r="A751" s="1">
        <v>45649</v>
      </c>
      <c r="B751" t="s">
        <v>11</v>
      </c>
      <c r="C751" t="s">
        <v>15</v>
      </c>
      <c r="D751">
        <v>85344</v>
      </c>
      <c r="E751">
        <v>548</v>
      </c>
      <c r="F751">
        <v>46768512</v>
      </c>
      <c r="G751">
        <v>472</v>
      </c>
      <c r="H751">
        <v>6486144</v>
      </c>
      <c r="I751" t="s">
        <v>13</v>
      </c>
      <c r="J751">
        <v>223091</v>
      </c>
      <c r="K751">
        <v>137747</v>
      </c>
    </row>
    <row r="752" spans="1:11" x14ac:dyDescent="0.25">
      <c r="A752" s="1">
        <v>45649</v>
      </c>
      <c r="B752" t="s">
        <v>16</v>
      </c>
      <c r="C752" t="s">
        <v>12</v>
      </c>
      <c r="D752">
        <v>52983</v>
      </c>
      <c r="E752">
        <v>653</v>
      </c>
      <c r="F752">
        <v>34597899</v>
      </c>
      <c r="G752">
        <v>577</v>
      </c>
      <c r="H752">
        <v>4026708</v>
      </c>
      <c r="I752" t="s">
        <v>13</v>
      </c>
      <c r="J752">
        <v>450541</v>
      </c>
      <c r="K752">
        <v>397558</v>
      </c>
    </row>
    <row r="753" spans="1:11" x14ac:dyDescent="0.25">
      <c r="A753" s="1">
        <v>45649</v>
      </c>
      <c r="B753" t="s">
        <v>16</v>
      </c>
      <c r="C753" t="s">
        <v>14</v>
      </c>
      <c r="D753">
        <v>31033</v>
      </c>
      <c r="E753">
        <v>863</v>
      </c>
      <c r="F753">
        <v>26781479</v>
      </c>
      <c r="G753">
        <v>829</v>
      </c>
      <c r="H753">
        <v>1055122</v>
      </c>
      <c r="I753" t="s">
        <v>17</v>
      </c>
      <c r="J753">
        <v>468083</v>
      </c>
      <c r="K753">
        <v>437050</v>
      </c>
    </row>
    <row r="754" spans="1:11" x14ac:dyDescent="0.25">
      <c r="A754" s="1">
        <v>45649</v>
      </c>
      <c r="B754" t="s">
        <v>16</v>
      </c>
      <c r="C754" t="s">
        <v>15</v>
      </c>
      <c r="D754">
        <v>67562</v>
      </c>
      <c r="E754">
        <v>553</v>
      </c>
      <c r="F754">
        <v>37361786</v>
      </c>
      <c r="G754">
        <v>491</v>
      </c>
      <c r="H754">
        <v>4188844</v>
      </c>
      <c r="I754" t="s">
        <v>13</v>
      </c>
      <c r="J754">
        <v>407793</v>
      </c>
      <c r="K754">
        <v>340231</v>
      </c>
    </row>
    <row r="755" spans="1:11" x14ac:dyDescent="0.25">
      <c r="A755" s="1">
        <v>45649</v>
      </c>
      <c r="B755" t="s">
        <v>18</v>
      </c>
      <c r="C755" t="s">
        <v>12</v>
      </c>
      <c r="D755">
        <v>64769</v>
      </c>
      <c r="E755">
        <v>614</v>
      </c>
      <c r="F755">
        <v>39768166</v>
      </c>
      <c r="G755">
        <v>553</v>
      </c>
      <c r="H755">
        <v>3950909</v>
      </c>
      <c r="I755" t="s">
        <v>13</v>
      </c>
      <c r="J755">
        <v>435796</v>
      </c>
      <c r="K755">
        <v>371027</v>
      </c>
    </row>
    <row r="756" spans="1:11" x14ac:dyDescent="0.25">
      <c r="A756" s="1">
        <v>45649</v>
      </c>
      <c r="B756" t="s">
        <v>18</v>
      </c>
      <c r="C756" t="s">
        <v>14</v>
      </c>
      <c r="D756">
        <v>47076</v>
      </c>
      <c r="E756">
        <v>883</v>
      </c>
      <c r="F756">
        <v>41568108</v>
      </c>
      <c r="G756">
        <v>816</v>
      </c>
      <c r="H756">
        <v>3154092</v>
      </c>
      <c r="I756" t="s">
        <v>13</v>
      </c>
      <c r="J756">
        <v>493577</v>
      </c>
      <c r="K756">
        <v>446501</v>
      </c>
    </row>
    <row r="757" spans="1:11" x14ac:dyDescent="0.25">
      <c r="A757" s="1">
        <v>45649</v>
      </c>
      <c r="B757" t="s">
        <v>18</v>
      </c>
      <c r="C757" t="s">
        <v>15</v>
      </c>
      <c r="D757">
        <v>87468</v>
      </c>
      <c r="E757">
        <v>594</v>
      </c>
      <c r="F757">
        <v>51955992</v>
      </c>
      <c r="G757">
        <v>535</v>
      </c>
      <c r="H757">
        <v>5160612</v>
      </c>
      <c r="I757" t="s">
        <v>13</v>
      </c>
      <c r="J757">
        <v>243527</v>
      </c>
      <c r="K757">
        <v>156059</v>
      </c>
    </row>
    <row r="758" spans="1:11" x14ac:dyDescent="0.25">
      <c r="A758" s="1">
        <v>45650</v>
      </c>
      <c r="B758" t="s">
        <v>11</v>
      </c>
      <c r="C758" t="s">
        <v>12</v>
      </c>
      <c r="D758">
        <v>20492</v>
      </c>
      <c r="E758">
        <v>632</v>
      </c>
      <c r="F758">
        <v>12950944</v>
      </c>
      <c r="G758">
        <v>586</v>
      </c>
      <c r="H758">
        <v>942632</v>
      </c>
      <c r="I758" t="s">
        <v>13</v>
      </c>
      <c r="J758">
        <v>423564</v>
      </c>
      <c r="K758">
        <v>403072</v>
      </c>
    </row>
    <row r="759" spans="1:11" x14ac:dyDescent="0.25">
      <c r="A759" s="1">
        <v>45650</v>
      </c>
      <c r="B759" t="s">
        <v>11</v>
      </c>
      <c r="C759" t="s">
        <v>14</v>
      </c>
      <c r="D759">
        <v>74110</v>
      </c>
      <c r="E759">
        <v>819</v>
      </c>
      <c r="F759">
        <v>60696090</v>
      </c>
      <c r="G759">
        <v>749</v>
      </c>
      <c r="H759">
        <v>5187700</v>
      </c>
      <c r="I759" t="s">
        <v>13</v>
      </c>
      <c r="J759">
        <v>312911</v>
      </c>
      <c r="K759">
        <v>238801</v>
      </c>
    </row>
    <row r="760" spans="1:11" x14ac:dyDescent="0.25">
      <c r="A760" s="1">
        <v>45650</v>
      </c>
      <c r="B760" t="s">
        <v>11</v>
      </c>
      <c r="C760" t="s">
        <v>15</v>
      </c>
      <c r="D760">
        <v>79234</v>
      </c>
      <c r="E760">
        <v>547</v>
      </c>
      <c r="F760">
        <v>43340998</v>
      </c>
      <c r="G760">
        <v>492</v>
      </c>
      <c r="H760">
        <v>4357870</v>
      </c>
      <c r="I760" t="s">
        <v>17</v>
      </c>
      <c r="J760">
        <v>205451</v>
      </c>
      <c r="K760">
        <v>126217</v>
      </c>
    </row>
    <row r="761" spans="1:11" x14ac:dyDescent="0.25">
      <c r="A761" s="1">
        <v>45650</v>
      </c>
      <c r="B761" t="s">
        <v>16</v>
      </c>
      <c r="C761" t="s">
        <v>12</v>
      </c>
      <c r="D761">
        <v>61316</v>
      </c>
      <c r="E761">
        <v>688</v>
      </c>
      <c r="F761">
        <v>42185408</v>
      </c>
      <c r="G761">
        <v>641</v>
      </c>
      <c r="H761">
        <v>2881852</v>
      </c>
      <c r="I761" t="s">
        <v>17</v>
      </c>
      <c r="J761">
        <v>436562</v>
      </c>
      <c r="K761">
        <v>375246</v>
      </c>
    </row>
    <row r="762" spans="1:11" x14ac:dyDescent="0.25">
      <c r="A762" s="1">
        <v>45650</v>
      </c>
      <c r="B762" t="s">
        <v>16</v>
      </c>
      <c r="C762" t="s">
        <v>14</v>
      </c>
      <c r="D762">
        <v>50873</v>
      </c>
      <c r="E762">
        <v>883</v>
      </c>
      <c r="F762">
        <v>44920859</v>
      </c>
      <c r="G762">
        <v>850</v>
      </c>
      <c r="H762">
        <v>1678809</v>
      </c>
      <c r="I762" t="s">
        <v>17</v>
      </c>
      <c r="J762">
        <v>397227</v>
      </c>
      <c r="K762">
        <v>346354</v>
      </c>
    </row>
    <row r="763" spans="1:11" x14ac:dyDescent="0.25">
      <c r="A763" s="1">
        <v>45650</v>
      </c>
      <c r="B763" t="s">
        <v>16</v>
      </c>
      <c r="C763" t="s">
        <v>15</v>
      </c>
      <c r="D763">
        <v>45372</v>
      </c>
      <c r="E763">
        <v>558</v>
      </c>
      <c r="F763">
        <v>25317576</v>
      </c>
      <c r="G763">
        <v>495</v>
      </c>
      <c r="H763">
        <v>2858436</v>
      </c>
      <c r="I763" t="s">
        <v>17</v>
      </c>
      <c r="J763">
        <v>496208</v>
      </c>
      <c r="K763">
        <v>450836</v>
      </c>
    </row>
    <row r="764" spans="1:11" x14ac:dyDescent="0.25">
      <c r="A764" s="1">
        <v>45650</v>
      </c>
      <c r="B764" t="s">
        <v>18</v>
      </c>
      <c r="C764" t="s">
        <v>12</v>
      </c>
      <c r="D764">
        <v>34122</v>
      </c>
      <c r="E764">
        <v>679</v>
      </c>
      <c r="F764">
        <v>23168838</v>
      </c>
      <c r="G764">
        <v>648</v>
      </c>
      <c r="H764">
        <v>1057782</v>
      </c>
      <c r="I764" t="s">
        <v>17</v>
      </c>
      <c r="J764">
        <v>250081</v>
      </c>
      <c r="K764">
        <v>215959</v>
      </c>
    </row>
    <row r="765" spans="1:11" x14ac:dyDescent="0.25">
      <c r="A765" s="1">
        <v>45650</v>
      </c>
      <c r="B765" t="s">
        <v>18</v>
      </c>
      <c r="C765" t="s">
        <v>14</v>
      </c>
      <c r="D765">
        <v>28711</v>
      </c>
      <c r="E765">
        <v>890</v>
      </c>
      <c r="F765">
        <v>25552790</v>
      </c>
      <c r="G765">
        <v>819</v>
      </c>
      <c r="H765">
        <v>2038481</v>
      </c>
      <c r="I765" t="s">
        <v>13</v>
      </c>
      <c r="J765">
        <v>276253</v>
      </c>
      <c r="K765">
        <v>247542</v>
      </c>
    </row>
    <row r="766" spans="1:11" x14ac:dyDescent="0.25">
      <c r="A766" s="1">
        <v>45650</v>
      </c>
      <c r="B766" t="s">
        <v>18</v>
      </c>
      <c r="C766" t="s">
        <v>15</v>
      </c>
      <c r="D766">
        <v>30211</v>
      </c>
      <c r="E766">
        <v>593</v>
      </c>
      <c r="F766">
        <v>17915123</v>
      </c>
      <c r="G766">
        <v>563</v>
      </c>
      <c r="H766">
        <v>906330</v>
      </c>
      <c r="I766" t="s">
        <v>13</v>
      </c>
      <c r="J766">
        <v>293783</v>
      </c>
      <c r="K766">
        <v>263572</v>
      </c>
    </row>
    <row r="767" spans="1:11" x14ac:dyDescent="0.25">
      <c r="A767" s="1">
        <v>45651</v>
      </c>
      <c r="B767" t="s">
        <v>11</v>
      </c>
      <c r="C767" t="s">
        <v>12</v>
      </c>
      <c r="D767">
        <v>75388</v>
      </c>
      <c r="E767">
        <v>685</v>
      </c>
      <c r="F767">
        <v>51640780</v>
      </c>
      <c r="G767">
        <v>612</v>
      </c>
      <c r="H767">
        <v>5503324</v>
      </c>
      <c r="I767" t="s">
        <v>17</v>
      </c>
      <c r="J767">
        <v>277960</v>
      </c>
      <c r="K767">
        <v>202572</v>
      </c>
    </row>
    <row r="768" spans="1:11" x14ac:dyDescent="0.25">
      <c r="A768" s="1">
        <v>45651</v>
      </c>
      <c r="B768" t="s">
        <v>11</v>
      </c>
      <c r="C768" t="s">
        <v>14</v>
      </c>
      <c r="D768">
        <v>42601</v>
      </c>
      <c r="E768">
        <v>785</v>
      </c>
      <c r="F768">
        <v>33441785</v>
      </c>
      <c r="G768">
        <v>719</v>
      </c>
      <c r="H768">
        <v>2811666</v>
      </c>
      <c r="I768" t="s">
        <v>13</v>
      </c>
      <c r="J768">
        <v>339227</v>
      </c>
      <c r="K768">
        <v>296626</v>
      </c>
    </row>
    <row r="769" spans="1:11" x14ac:dyDescent="0.25">
      <c r="A769" s="1">
        <v>45651</v>
      </c>
      <c r="B769" t="s">
        <v>11</v>
      </c>
      <c r="C769" t="s">
        <v>15</v>
      </c>
      <c r="D769">
        <v>56777</v>
      </c>
      <c r="E769">
        <v>542</v>
      </c>
      <c r="F769">
        <v>30773134</v>
      </c>
      <c r="G769">
        <v>492</v>
      </c>
      <c r="H769">
        <v>2838850</v>
      </c>
      <c r="I769" t="s">
        <v>13</v>
      </c>
      <c r="J769">
        <v>328727</v>
      </c>
      <c r="K769">
        <v>271950</v>
      </c>
    </row>
    <row r="770" spans="1:11" x14ac:dyDescent="0.25">
      <c r="A770" s="1">
        <v>45651</v>
      </c>
      <c r="B770" t="s">
        <v>16</v>
      </c>
      <c r="C770" t="s">
        <v>12</v>
      </c>
      <c r="D770">
        <v>83227</v>
      </c>
      <c r="E770">
        <v>665</v>
      </c>
      <c r="F770">
        <v>55345955</v>
      </c>
      <c r="G770">
        <v>628</v>
      </c>
      <c r="H770">
        <v>3079399</v>
      </c>
      <c r="I770" t="s">
        <v>17</v>
      </c>
      <c r="J770">
        <v>405743</v>
      </c>
      <c r="K770">
        <v>322516</v>
      </c>
    </row>
    <row r="771" spans="1:11" x14ac:dyDescent="0.25">
      <c r="A771" s="1">
        <v>45651</v>
      </c>
      <c r="B771" t="s">
        <v>16</v>
      </c>
      <c r="C771" t="s">
        <v>14</v>
      </c>
      <c r="D771">
        <v>47413</v>
      </c>
      <c r="E771">
        <v>850</v>
      </c>
      <c r="F771">
        <v>40301050</v>
      </c>
      <c r="G771">
        <v>794</v>
      </c>
      <c r="H771">
        <v>2655128</v>
      </c>
      <c r="I771" t="s">
        <v>17</v>
      </c>
      <c r="J771">
        <v>433820</v>
      </c>
      <c r="K771">
        <v>386407</v>
      </c>
    </row>
    <row r="772" spans="1:11" x14ac:dyDescent="0.25">
      <c r="A772" s="1">
        <v>45651</v>
      </c>
      <c r="B772" t="s">
        <v>16</v>
      </c>
      <c r="C772" t="s">
        <v>15</v>
      </c>
      <c r="D772">
        <v>86732</v>
      </c>
      <c r="E772">
        <v>509</v>
      </c>
      <c r="F772">
        <v>44146588</v>
      </c>
      <c r="G772">
        <v>444</v>
      </c>
      <c r="H772">
        <v>5637580</v>
      </c>
      <c r="I772" t="s">
        <v>13</v>
      </c>
      <c r="J772">
        <v>485960</v>
      </c>
      <c r="K772">
        <v>399228</v>
      </c>
    </row>
    <row r="773" spans="1:11" x14ac:dyDescent="0.25">
      <c r="A773" s="1">
        <v>45651</v>
      </c>
      <c r="B773" t="s">
        <v>18</v>
      </c>
      <c r="C773" t="s">
        <v>12</v>
      </c>
      <c r="D773">
        <v>60695</v>
      </c>
      <c r="E773">
        <v>626</v>
      </c>
      <c r="F773">
        <v>37995070</v>
      </c>
      <c r="G773">
        <v>563</v>
      </c>
      <c r="H773">
        <v>3823785</v>
      </c>
      <c r="I773" t="s">
        <v>13</v>
      </c>
      <c r="J773">
        <v>398784</v>
      </c>
      <c r="K773">
        <v>338089</v>
      </c>
    </row>
    <row r="774" spans="1:11" x14ac:dyDescent="0.25">
      <c r="A774" s="1">
        <v>45651</v>
      </c>
      <c r="B774" t="s">
        <v>18</v>
      </c>
      <c r="C774" t="s">
        <v>14</v>
      </c>
      <c r="D774">
        <v>73574</v>
      </c>
      <c r="E774">
        <v>816</v>
      </c>
      <c r="F774">
        <v>60036384</v>
      </c>
      <c r="G774">
        <v>767</v>
      </c>
      <c r="H774">
        <v>3605126</v>
      </c>
      <c r="I774" t="s">
        <v>17</v>
      </c>
      <c r="J774">
        <v>300755</v>
      </c>
      <c r="K774">
        <v>227181</v>
      </c>
    </row>
    <row r="775" spans="1:11" x14ac:dyDescent="0.25">
      <c r="A775" s="1">
        <v>45651</v>
      </c>
      <c r="B775" t="s">
        <v>18</v>
      </c>
      <c r="C775" t="s">
        <v>15</v>
      </c>
      <c r="D775">
        <v>23696</v>
      </c>
      <c r="E775">
        <v>590</v>
      </c>
      <c r="F775">
        <v>13980640</v>
      </c>
      <c r="G775">
        <v>535</v>
      </c>
      <c r="H775">
        <v>1303280</v>
      </c>
      <c r="I775" t="s">
        <v>17</v>
      </c>
      <c r="J775">
        <v>481293</v>
      </c>
      <c r="K775">
        <v>457597</v>
      </c>
    </row>
    <row r="776" spans="1:11" x14ac:dyDescent="0.25">
      <c r="A776" s="1">
        <v>45652</v>
      </c>
      <c r="B776" t="s">
        <v>11</v>
      </c>
      <c r="C776" t="s">
        <v>12</v>
      </c>
      <c r="D776">
        <v>73521</v>
      </c>
      <c r="E776">
        <v>644</v>
      </c>
      <c r="F776">
        <v>47347524</v>
      </c>
      <c r="G776">
        <v>586</v>
      </c>
      <c r="H776">
        <v>4264218</v>
      </c>
      <c r="I776" t="s">
        <v>13</v>
      </c>
      <c r="J776">
        <v>448922</v>
      </c>
      <c r="K776">
        <v>375401</v>
      </c>
    </row>
    <row r="777" spans="1:11" x14ac:dyDescent="0.25">
      <c r="A777" s="1">
        <v>45652</v>
      </c>
      <c r="B777" t="s">
        <v>11</v>
      </c>
      <c r="C777" t="s">
        <v>14</v>
      </c>
      <c r="D777">
        <v>83811</v>
      </c>
      <c r="E777">
        <v>863</v>
      </c>
      <c r="F777">
        <v>72328893</v>
      </c>
      <c r="G777">
        <v>833</v>
      </c>
      <c r="H777">
        <v>2514330</v>
      </c>
      <c r="I777" t="s">
        <v>13</v>
      </c>
      <c r="J777">
        <v>477561</v>
      </c>
      <c r="K777">
        <v>393750</v>
      </c>
    </row>
    <row r="778" spans="1:11" x14ac:dyDescent="0.25">
      <c r="A778" s="1">
        <v>45652</v>
      </c>
      <c r="B778" t="s">
        <v>11</v>
      </c>
      <c r="C778" t="s">
        <v>15</v>
      </c>
      <c r="D778">
        <v>50099</v>
      </c>
      <c r="E778">
        <v>586</v>
      </c>
      <c r="F778">
        <v>29358014</v>
      </c>
      <c r="G778">
        <v>547</v>
      </c>
      <c r="H778">
        <v>1953861</v>
      </c>
      <c r="I778" t="s">
        <v>17</v>
      </c>
      <c r="J778">
        <v>318474</v>
      </c>
      <c r="K778">
        <v>268375</v>
      </c>
    </row>
    <row r="779" spans="1:11" x14ac:dyDescent="0.25">
      <c r="A779" s="1">
        <v>45652</v>
      </c>
      <c r="B779" t="s">
        <v>16</v>
      </c>
      <c r="C779" t="s">
        <v>12</v>
      </c>
      <c r="D779">
        <v>54681</v>
      </c>
      <c r="E779">
        <v>664</v>
      </c>
      <c r="F779">
        <v>36308184</v>
      </c>
      <c r="G779">
        <v>618</v>
      </c>
      <c r="H779">
        <v>2515326</v>
      </c>
      <c r="I779" t="s">
        <v>17</v>
      </c>
      <c r="J779">
        <v>234540</v>
      </c>
      <c r="K779">
        <v>179859</v>
      </c>
    </row>
    <row r="780" spans="1:11" x14ac:dyDescent="0.25">
      <c r="A780" s="1">
        <v>45652</v>
      </c>
      <c r="B780" t="s">
        <v>16</v>
      </c>
      <c r="C780" t="s">
        <v>14</v>
      </c>
      <c r="D780">
        <v>83043</v>
      </c>
      <c r="E780">
        <v>888</v>
      </c>
      <c r="F780">
        <v>73742184</v>
      </c>
      <c r="G780">
        <v>838</v>
      </c>
      <c r="H780">
        <v>4152150</v>
      </c>
      <c r="I780" t="s">
        <v>13</v>
      </c>
      <c r="J780">
        <v>391051</v>
      </c>
      <c r="K780">
        <v>308008</v>
      </c>
    </row>
    <row r="781" spans="1:11" x14ac:dyDescent="0.25">
      <c r="A781" s="1">
        <v>45652</v>
      </c>
      <c r="B781" t="s">
        <v>16</v>
      </c>
      <c r="C781" t="s">
        <v>15</v>
      </c>
      <c r="D781">
        <v>86668</v>
      </c>
      <c r="E781">
        <v>559</v>
      </c>
      <c r="F781">
        <v>48447412</v>
      </c>
      <c r="G781">
        <v>523</v>
      </c>
      <c r="H781">
        <v>3120048</v>
      </c>
      <c r="I781" t="s">
        <v>17</v>
      </c>
      <c r="J781">
        <v>420462</v>
      </c>
      <c r="K781">
        <v>333794</v>
      </c>
    </row>
    <row r="782" spans="1:11" x14ac:dyDescent="0.25">
      <c r="A782" s="1">
        <v>45652</v>
      </c>
      <c r="B782" t="s">
        <v>18</v>
      </c>
      <c r="C782" t="s">
        <v>12</v>
      </c>
      <c r="D782">
        <v>83814</v>
      </c>
      <c r="E782">
        <v>625</v>
      </c>
      <c r="F782">
        <v>52383750</v>
      </c>
      <c r="G782">
        <v>556</v>
      </c>
      <c r="H782">
        <v>5783166</v>
      </c>
      <c r="I782" t="s">
        <v>17</v>
      </c>
      <c r="J782">
        <v>469956</v>
      </c>
      <c r="K782">
        <v>386142</v>
      </c>
    </row>
    <row r="783" spans="1:11" x14ac:dyDescent="0.25">
      <c r="A783" s="1">
        <v>45652</v>
      </c>
      <c r="B783" t="s">
        <v>18</v>
      </c>
      <c r="C783" t="s">
        <v>14</v>
      </c>
      <c r="D783">
        <v>22179</v>
      </c>
      <c r="E783">
        <v>772</v>
      </c>
      <c r="F783">
        <v>17122188</v>
      </c>
      <c r="G783">
        <v>701</v>
      </c>
      <c r="H783">
        <v>1574709</v>
      </c>
      <c r="I783" t="s">
        <v>13</v>
      </c>
      <c r="J783">
        <v>482844</v>
      </c>
      <c r="K783">
        <v>460665</v>
      </c>
    </row>
    <row r="784" spans="1:11" x14ac:dyDescent="0.25">
      <c r="A784" s="1">
        <v>45652</v>
      </c>
      <c r="B784" t="s">
        <v>18</v>
      </c>
      <c r="C784" t="s">
        <v>15</v>
      </c>
      <c r="D784">
        <v>59464</v>
      </c>
      <c r="E784">
        <v>518</v>
      </c>
      <c r="F784">
        <v>30802352</v>
      </c>
      <c r="G784">
        <v>441</v>
      </c>
      <c r="H784">
        <v>4578728</v>
      </c>
      <c r="I784" t="s">
        <v>13</v>
      </c>
      <c r="J784">
        <v>413606</v>
      </c>
      <c r="K784">
        <v>354142</v>
      </c>
    </row>
    <row r="785" spans="1:11" x14ac:dyDescent="0.25">
      <c r="A785" s="1">
        <v>45653</v>
      </c>
      <c r="B785" t="s">
        <v>11</v>
      </c>
      <c r="C785" t="s">
        <v>12</v>
      </c>
      <c r="D785">
        <v>80315</v>
      </c>
      <c r="E785">
        <v>690</v>
      </c>
      <c r="F785">
        <v>55417350</v>
      </c>
      <c r="G785">
        <v>657</v>
      </c>
      <c r="H785">
        <v>2650395</v>
      </c>
      <c r="I785" t="s">
        <v>17</v>
      </c>
      <c r="J785">
        <v>378048</v>
      </c>
      <c r="K785">
        <v>297733</v>
      </c>
    </row>
    <row r="786" spans="1:11" x14ac:dyDescent="0.25">
      <c r="A786" s="1">
        <v>45653</v>
      </c>
      <c r="B786" t="s">
        <v>11</v>
      </c>
      <c r="C786" t="s">
        <v>14</v>
      </c>
      <c r="D786">
        <v>65095</v>
      </c>
      <c r="E786">
        <v>773</v>
      </c>
      <c r="F786">
        <v>50318435</v>
      </c>
      <c r="G786">
        <v>720</v>
      </c>
      <c r="H786">
        <v>3450035</v>
      </c>
      <c r="I786" t="s">
        <v>17</v>
      </c>
      <c r="J786">
        <v>347745</v>
      </c>
      <c r="K786">
        <v>282650</v>
      </c>
    </row>
    <row r="787" spans="1:11" x14ac:dyDescent="0.25">
      <c r="A787" s="1">
        <v>45653</v>
      </c>
      <c r="B787" t="s">
        <v>11</v>
      </c>
      <c r="C787" t="s">
        <v>15</v>
      </c>
      <c r="D787">
        <v>47056</v>
      </c>
      <c r="E787">
        <v>586</v>
      </c>
      <c r="F787">
        <v>27574816</v>
      </c>
      <c r="G787">
        <v>534</v>
      </c>
      <c r="H787">
        <v>2446912</v>
      </c>
      <c r="I787" t="s">
        <v>17</v>
      </c>
      <c r="J787">
        <v>454205</v>
      </c>
      <c r="K787">
        <v>407149</v>
      </c>
    </row>
    <row r="788" spans="1:11" x14ac:dyDescent="0.25">
      <c r="A788" s="1">
        <v>45653</v>
      </c>
      <c r="B788" t="s">
        <v>16</v>
      </c>
      <c r="C788" t="s">
        <v>12</v>
      </c>
      <c r="D788">
        <v>77149</v>
      </c>
      <c r="E788">
        <v>640</v>
      </c>
      <c r="F788">
        <v>49375360</v>
      </c>
      <c r="G788">
        <v>605</v>
      </c>
      <c r="H788">
        <v>2700215</v>
      </c>
      <c r="I788" t="s">
        <v>17</v>
      </c>
      <c r="J788">
        <v>496292</v>
      </c>
      <c r="K788">
        <v>419143</v>
      </c>
    </row>
    <row r="789" spans="1:11" x14ac:dyDescent="0.25">
      <c r="A789" s="1">
        <v>45653</v>
      </c>
      <c r="B789" t="s">
        <v>16</v>
      </c>
      <c r="C789" t="s">
        <v>14</v>
      </c>
      <c r="D789">
        <v>73459</v>
      </c>
      <c r="E789">
        <v>752</v>
      </c>
      <c r="F789">
        <v>55241168</v>
      </c>
      <c r="G789">
        <v>701</v>
      </c>
      <c r="H789">
        <v>3746409</v>
      </c>
      <c r="I789" t="s">
        <v>13</v>
      </c>
      <c r="J789">
        <v>408859</v>
      </c>
      <c r="K789">
        <v>335400</v>
      </c>
    </row>
    <row r="790" spans="1:11" x14ac:dyDescent="0.25">
      <c r="A790" s="1">
        <v>45653</v>
      </c>
      <c r="B790" t="s">
        <v>16</v>
      </c>
      <c r="C790" t="s">
        <v>15</v>
      </c>
      <c r="D790">
        <v>40466</v>
      </c>
      <c r="E790">
        <v>535</v>
      </c>
      <c r="F790">
        <v>21649310</v>
      </c>
      <c r="G790">
        <v>459</v>
      </c>
      <c r="H790">
        <v>3075416</v>
      </c>
      <c r="I790" t="s">
        <v>17</v>
      </c>
      <c r="J790">
        <v>416232</v>
      </c>
      <c r="K790">
        <v>375766</v>
      </c>
    </row>
    <row r="791" spans="1:11" x14ac:dyDescent="0.25">
      <c r="A791" s="1">
        <v>45653</v>
      </c>
      <c r="B791" t="s">
        <v>18</v>
      </c>
      <c r="C791" t="s">
        <v>12</v>
      </c>
      <c r="D791">
        <v>42412</v>
      </c>
      <c r="E791">
        <v>686</v>
      </c>
      <c r="F791">
        <v>29094632</v>
      </c>
      <c r="G791">
        <v>607</v>
      </c>
      <c r="H791">
        <v>3350548</v>
      </c>
      <c r="I791" t="s">
        <v>13</v>
      </c>
      <c r="J791">
        <v>392029</v>
      </c>
      <c r="K791">
        <v>349617</v>
      </c>
    </row>
    <row r="792" spans="1:11" x14ac:dyDescent="0.25">
      <c r="A792" s="1">
        <v>45653</v>
      </c>
      <c r="B792" t="s">
        <v>18</v>
      </c>
      <c r="C792" t="s">
        <v>14</v>
      </c>
      <c r="D792">
        <v>33156</v>
      </c>
      <c r="E792">
        <v>774</v>
      </c>
      <c r="F792">
        <v>25662744</v>
      </c>
      <c r="G792">
        <v>697</v>
      </c>
      <c r="H792">
        <v>2553012</v>
      </c>
      <c r="I792" t="s">
        <v>17</v>
      </c>
      <c r="J792">
        <v>230106</v>
      </c>
      <c r="K792">
        <v>196950</v>
      </c>
    </row>
    <row r="793" spans="1:11" x14ac:dyDescent="0.25">
      <c r="A793" s="1">
        <v>45653</v>
      </c>
      <c r="B793" t="s">
        <v>18</v>
      </c>
      <c r="C793" t="s">
        <v>15</v>
      </c>
      <c r="D793">
        <v>36589</v>
      </c>
      <c r="E793">
        <v>556</v>
      </c>
      <c r="F793">
        <v>20343484</v>
      </c>
      <c r="G793">
        <v>479</v>
      </c>
      <c r="H793">
        <v>2817353</v>
      </c>
      <c r="I793" t="s">
        <v>13</v>
      </c>
      <c r="J793">
        <v>338286</v>
      </c>
      <c r="K793">
        <v>301697</v>
      </c>
    </row>
    <row r="794" spans="1:11" x14ac:dyDescent="0.25">
      <c r="A794" s="1">
        <v>45654</v>
      </c>
      <c r="B794" t="s">
        <v>11</v>
      </c>
      <c r="C794" t="s">
        <v>12</v>
      </c>
      <c r="D794">
        <v>47127</v>
      </c>
      <c r="E794">
        <v>621</v>
      </c>
      <c r="F794">
        <v>29265867</v>
      </c>
      <c r="G794">
        <v>571</v>
      </c>
      <c r="H794">
        <v>2356350</v>
      </c>
      <c r="I794" t="s">
        <v>13</v>
      </c>
      <c r="J794">
        <v>464852</v>
      </c>
      <c r="K794">
        <v>417725</v>
      </c>
    </row>
    <row r="795" spans="1:11" x14ac:dyDescent="0.25">
      <c r="A795" s="1">
        <v>45654</v>
      </c>
      <c r="B795" t="s">
        <v>11</v>
      </c>
      <c r="C795" t="s">
        <v>14</v>
      </c>
      <c r="D795">
        <v>35088</v>
      </c>
      <c r="E795">
        <v>765</v>
      </c>
      <c r="F795">
        <v>26842320</v>
      </c>
      <c r="G795">
        <v>705</v>
      </c>
      <c r="H795">
        <v>2105280</v>
      </c>
      <c r="I795" t="s">
        <v>13</v>
      </c>
      <c r="J795">
        <v>395497</v>
      </c>
      <c r="K795">
        <v>360409</v>
      </c>
    </row>
    <row r="796" spans="1:11" x14ac:dyDescent="0.25">
      <c r="A796" s="1">
        <v>45654</v>
      </c>
      <c r="B796" t="s">
        <v>11</v>
      </c>
      <c r="C796" t="s">
        <v>15</v>
      </c>
      <c r="D796">
        <v>67135</v>
      </c>
      <c r="E796">
        <v>558</v>
      </c>
      <c r="F796">
        <v>37461330</v>
      </c>
      <c r="G796">
        <v>495</v>
      </c>
      <c r="H796">
        <v>4229505</v>
      </c>
      <c r="I796" t="s">
        <v>17</v>
      </c>
      <c r="J796">
        <v>278077</v>
      </c>
      <c r="K796">
        <v>210942</v>
      </c>
    </row>
    <row r="797" spans="1:11" x14ac:dyDescent="0.25">
      <c r="A797" s="1">
        <v>45654</v>
      </c>
      <c r="B797" t="s">
        <v>16</v>
      </c>
      <c r="C797" t="s">
        <v>12</v>
      </c>
      <c r="D797">
        <v>72874</v>
      </c>
      <c r="E797">
        <v>695</v>
      </c>
      <c r="F797">
        <v>50647430</v>
      </c>
      <c r="G797">
        <v>656</v>
      </c>
      <c r="H797">
        <v>2842086</v>
      </c>
      <c r="I797" t="s">
        <v>17</v>
      </c>
      <c r="J797">
        <v>440341</v>
      </c>
      <c r="K797">
        <v>367467</v>
      </c>
    </row>
    <row r="798" spans="1:11" x14ac:dyDescent="0.25">
      <c r="A798" s="1">
        <v>45654</v>
      </c>
      <c r="B798" t="s">
        <v>16</v>
      </c>
      <c r="C798" t="s">
        <v>14</v>
      </c>
      <c r="D798">
        <v>88368</v>
      </c>
      <c r="E798">
        <v>817</v>
      </c>
      <c r="F798">
        <v>72196656</v>
      </c>
      <c r="G798">
        <v>740</v>
      </c>
      <c r="H798">
        <v>6804336</v>
      </c>
      <c r="I798" t="s">
        <v>17</v>
      </c>
      <c r="J798">
        <v>419571</v>
      </c>
      <c r="K798">
        <v>331203</v>
      </c>
    </row>
    <row r="799" spans="1:11" x14ac:dyDescent="0.25">
      <c r="A799" s="1">
        <v>45654</v>
      </c>
      <c r="B799" t="s">
        <v>16</v>
      </c>
      <c r="C799" t="s">
        <v>15</v>
      </c>
      <c r="D799">
        <v>52920</v>
      </c>
      <c r="E799">
        <v>520</v>
      </c>
      <c r="F799">
        <v>27518400</v>
      </c>
      <c r="G799">
        <v>454</v>
      </c>
      <c r="H799">
        <v>3492720</v>
      </c>
      <c r="I799" t="s">
        <v>17</v>
      </c>
      <c r="J799">
        <v>459904</v>
      </c>
      <c r="K799">
        <v>406984</v>
      </c>
    </row>
    <row r="800" spans="1:11" x14ac:dyDescent="0.25">
      <c r="A800" s="1">
        <v>45654</v>
      </c>
      <c r="B800" t="s">
        <v>18</v>
      </c>
      <c r="C800" t="s">
        <v>12</v>
      </c>
      <c r="D800">
        <v>62712</v>
      </c>
      <c r="E800">
        <v>650</v>
      </c>
      <c r="F800">
        <v>40762800</v>
      </c>
      <c r="G800">
        <v>585</v>
      </c>
      <c r="H800">
        <v>4076280</v>
      </c>
      <c r="I800" t="s">
        <v>17</v>
      </c>
      <c r="J800">
        <v>233872</v>
      </c>
      <c r="K800">
        <v>171160</v>
      </c>
    </row>
    <row r="801" spans="1:11" x14ac:dyDescent="0.25">
      <c r="A801" s="1">
        <v>45654</v>
      </c>
      <c r="B801" t="s">
        <v>18</v>
      </c>
      <c r="C801" t="s">
        <v>14</v>
      </c>
      <c r="D801">
        <v>40583</v>
      </c>
      <c r="E801">
        <v>764</v>
      </c>
      <c r="F801">
        <v>31005412</v>
      </c>
      <c r="G801">
        <v>703</v>
      </c>
      <c r="H801">
        <v>2475563</v>
      </c>
      <c r="I801" t="s">
        <v>13</v>
      </c>
      <c r="J801">
        <v>398522</v>
      </c>
      <c r="K801">
        <v>357939</v>
      </c>
    </row>
    <row r="802" spans="1:11" x14ac:dyDescent="0.25">
      <c r="A802" s="1">
        <v>45654</v>
      </c>
      <c r="B802" t="s">
        <v>18</v>
      </c>
      <c r="C802" t="s">
        <v>15</v>
      </c>
      <c r="D802">
        <v>39456</v>
      </c>
      <c r="E802">
        <v>522</v>
      </c>
      <c r="F802">
        <v>20596032</v>
      </c>
      <c r="G802">
        <v>454</v>
      </c>
      <c r="H802">
        <v>2683008</v>
      </c>
      <c r="I802" t="s">
        <v>13</v>
      </c>
      <c r="J802">
        <v>233276</v>
      </c>
      <c r="K802">
        <v>193820</v>
      </c>
    </row>
    <row r="803" spans="1:11" x14ac:dyDescent="0.25">
      <c r="A803" s="1">
        <v>45655</v>
      </c>
      <c r="B803" t="s">
        <v>11</v>
      </c>
      <c r="C803" t="s">
        <v>12</v>
      </c>
      <c r="D803">
        <v>39873</v>
      </c>
      <c r="E803">
        <v>640</v>
      </c>
      <c r="F803">
        <v>25518720</v>
      </c>
      <c r="G803">
        <v>582</v>
      </c>
      <c r="H803">
        <v>2312634</v>
      </c>
      <c r="I803" t="s">
        <v>13</v>
      </c>
      <c r="J803">
        <v>221644</v>
      </c>
      <c r="K803">
        <v>181771</v>
      </c>
    </row>
    <row r="804" spans="1:11" x14ac:dyDescent="0.25">
      <c r="A804" s="1">
        <v>45655</v>
      </c>
      <c r="B804" t="s">
        <v>11</v>
      </c>
      <c r="C804" t="s">
        <v>14</v>
      </c>
      <c r="D804">
        <v>57125</v>
      </c>
      <c r="E804">
        <v>833</v>
      </c>
      <c r="F804">
        <v>47585125</v>
      </c>
      <c r="G804">
        <v>801</v>
      </c>
      <c r="H804">
        <v>1828000</v>
      </c>
      <c r="I804" t="s">
        <v>13</v>
      </c>
      <c r="J804">
        <v>225675</v>
      </c>
      <c r="K804">
        <v>168550</v>
      </c>
    </row>
    <row r="805" spans="1:11" x14ac:dyDescent="0.25">
      <c r="A805" s="1">
        <v>45655</v>
      </c>
      <c r="B805" t="s">
        <v>11</v>
      </c>
      <c r="C805" t="s">
        <v>15</v>
      </c>
      <c r="D805">
        <v>20174</v>
      </c>
      <c r="E805">
        <v>554</v>
      </c>
      <c r="F805">
        <v>11176396</v>
      </c>
      <c r="G805">
        <v>524</v>
      </c>
      <c r="H805">
        <v>605220</v>
      </c>
      <c r="I805" t="s">
        <v>13</v>
      </c>
      <c r="J805">
        <v>305410</v>
      </c>
      <c r="K805">
        <v>285236</v>
      </c>
    </row>
    <row r="806" spans="1:11" x14ac:dyDescent="0.25">
      <c r="A806" s="1">
        <v>45655</v>
      </c>
      <c r="B806" t="s">
        <v>16</v>
      </c>
      <c r="C806" t="s">
        <v>12</v>
      </c>
      <c r="D806">
        <v>64814</v>
      </c>
      <c r="E806">
        <v>699</v>
      </c>
      <c r="F806">
        <v>45304986</v>
      </c>
      <c r="G806">
        <v>638</v>
      </c>
      <c r="H806">
        <v>3953654</v>
      </c>
      <c r="I806" t="s">
        <v>13</v>
      </c>
      <c r="J806">
        <v>329887</v>
      </c>
      <c r="K806">
        <v>265073</v>
      </c>
    </row>
    <row r="807" spans="1:11" x14ac:dyDescent="0.25">
      <c r="A807" s="1">
        <v>45655</v>
      </c>
      <c r="B807" t="s">
        <v>16</v>
      </c>
      <c r="C807" t="s">
        <v>14</v>
      </c>
      <c r="D807">
        <v>61328</v>
      </c>
      <c r="E807">
        <v>832</v>
      </c>
      <c r="F807">
        <v>51024896</v>
      </c>
      <c r="G807">
        <v>760</v>
      </c>
      <c r="H807">
        <v>4415616</v>
      </c>
      <c r="I807" t="s">
        <v>17</v>
      </c>
      <c r="J807">
        <v>234675</v>
      </c>
      <c r="K807">
        <v>173347</v>
      </c>
    </row>
    <row r="808" spans="1:11" x14ac:dyDescent="0.25">
      <c r="A808" s="1">
        <v>45655</v>
      </c>
      <c r="B808" t="s">
        <v>16</v>
      </c>
      <c r="C808" t="s">
        <v>15</v>
      </c>
      <c r="D808">
        <v>38919</v>
      </c>
      <c r="E808">
        <v>577</v>
      </c>
      <c r="F808">
        <v>22456263</v>
      </c>
      <c r="G808">
        <v>515</v>
      </c>
      <c r="H808">
        <v>2412978</v>
      </c>
      <c r="I808" t="s">
        <v>13</v>
      </c>
      <c r="J808">
        <v>381517</v>
      </c>
      <c r="K808">
        <v>342598</v>
      </c>
    </row>
    <row r="809" spans="1:11" x14ac:dyDescent="0.25">
      <c r="A809" s="1">
        <v>45655</v>
      </c>
      <c r="B809" t="s">
        <v>18</v>
      </c>
      <c r="C809" t="s">
        <v>12</v>
      </c>
      <c r="D809">
        <v>57564</v>
      </c>
      <c r="E809">
        <v>603</v>
      </c>
      <c r="F809">
        <v>34711092</v>
      </c>
      <c r="G809">
        <v>550</v>
      </c>
      <c r="H809">
        <v>3050892</v>
      </c>
      <c r="I809" t="s">
        <v>17</v>
      </c>
      <c r="J809">
        <v>359034</v>
      </c>
      <c r="K809">
        <v>301470</v>
      </c>
    </row>
    <row r="810" spans="1:11" x14ac:dyDescent="0.25">
      <c r="A810" s="1">
        <v>45655</v>
      </c>
      <c r="B810" t="s">
        <v>18</v>
      </c>
      <c r="C810" t="s">
        <v>14</v>
      </c>
      <c r="D810">
        <v>76184</v>
      </c>
      <c r="E810">
        <v>832</v>
      </c>
      <c r="F810">
        <v>63385088</v>
      </c>
      <c r="G810">
        <v>802</v>
      </c>
      <c r="H810">
        <v>2285520</v>
      </c>
      <c r="I810" t="s">
        <v>13</v>
      </c>
      <c r="J810">
        <v>442188</v>
      </c>
      <c r="K810">
        <v>366004</v>
      </c>
    </row>
    <row r="811" spans="1:11" x14ac:dyDescent="0.25">
      <c r="A811" s="1">
        <v>45655</v>
      </c>
      <c r="B811" t="s">
        <v>18</v>
      </c>
      <c r="C811" t="s">
        <v>15</v>
      </c>
      <c r="D811">
        <v>87391</v>
      </c>
      <c r="E811">
        <v>561</v>
      </c>
      <c r="F811">
        <v>49026351</v>
      </c>
      <c r="G811">
        <v>497</v>
      </c>
      <c r="H811">
        <v>5593024</v>
      </c>
      <c r="I811" t="s">
        <v>13</v>
      </c>
      <c r="J811">
        <v>497675</v>
      </c>
      <c r="K811">
        <v>410284</v>
      </c>
    </row>
    <row r="812" spans="1:11" x14ac:dyDescent="0.25">
      <c r="A812" s="1">
        <v>45656</v>
      </c>
      <c r="B812" t="s">
        <v>11</v>
      </c>
      <c r="C812" t="s">
        <v>12</v>
      </c>
      <c r="D812">
        <v>24986</v>
      </c>
      <c r="E812">
        <v>642</v>
      </c>
      <c r="F812">
        <v>16041012</v>
      </c>
      <c r="G812">
        <v>603</v>
      </c>
      <c r="H812">
        <v>974454</v>
      </c>
      <c r="I812" t="s">
        <v>17</v>
      </c>
      <c r="J812">
        <v>400339</v>
      </c>
      <c r="K812">
        <v>375353</v>
      </c>
    </row>
    <row r="813" spans="1:11" x14ac:dyDescent="0.25">
      <c r="A813" s="1">
        <v>45656</v>
      </c>
      <c r="B813" t="s">
        <v>11</v>
      </c>
      <c r="C813" t="s">
        <v>14</v>
      </c>
      <c r="D813">
        <v>36835</v>
      </c>
      <c r="E813">
        <v>751</v>
      </c>
      <c r="F813">
        <v>27663085</v>
      </c>
      <c r="G813">
        <v>700</v>
      </c>
      <c r="H813">
        <v>1878585</v>
      </c>
      <c r="I813" t="s">
        <v>17</v>
      </c>
      <c r="J813">
        <v>417400</v>
      </c>
      <c r="K813">
        <v>380565</v>
      </c>
    </row>
    <row r="814" spans="1:11" x14ac:dyDescent="0.25">
      <c r="A814" s="1">
        <v>45656</v>
      </c>
      <c r="B814" t="s">
        <v>11</v>
      </c>
      <c r="C814" t="s">
        <v>15</v>
      </c>
      <c r="D814">
        <v>63526</v>
      </c>
      <c r="E814">
        <v>577</v>
      </c>
      <c r="F814">
        <v>36654502</v>
      </c>
      <c r="G814">
        <v>545</v>
      </c>
      <c r="H814">
        <v>2032832</v>
      </c>
      <c r="I814" t="s">
        <v>17</v>
      </c>
      <c r="J814">
        <v>486479</v>
      </c>
      <c r="K814">
        <v>422953</v>
      </c>
    </row>
    <row r="815" spans="1:11" x14ac:dyDescent="0.25">
      <c r="A815" s="1">
        <v>45656</v>
      </c>
      <c r="B815" t="s">
        <v>16</v>
      </c>
      <c r="C815" t="s">
        <v>12</v>
      </c>
      <c r="D815">
        <v>31442</v>
      </c>
      <c r="E815">
        <v>681</v>
      </c>
      <c r="F815">
        <v>21412002</v>
      </c>
      <c r="G815">
        <v>636</v>
      </c>
      <c r="H815">
        <v>1414890</v>
      </c>
      <c r="I815" t="s">
        <v>17</v>
      </c>
      <c r="J815">
        <v>306464</v>
      </c>
      <c r="K815">
        <v>275022</v>
      </c>
    </row>
    <row r="816" spans="1:11" x14ac:dyDescent="0.25">
      <c r="A816" s="1">
        <v>45656</v>
      </c>
      <c r="B816" t="s">
        <v>16</v>
      </c>
      <c r="C816" t="s">
        <v>14</v>
      </c>
      <c r="D816">
        <v>39581</v>
      </c>
      <c r="E816">
        <v>802</v>
      </c>
      <c r="F816">
        <v>31743962</v>
      </c>
      <c r="G816">
        <v>762</v>
      </c>
      <c r="H816">
        <v>1583240</v>
      </c>
      <c r="I816" t="s">
        <v>17</v>
      </c>
      <c r="J816">
        <v>292036</v>
      </c>
      <c r="K816">
        <v>252455</v>
      </c>
    </row>
    <row r="817" spans="1:11" x14ac:dyDescent="0.25">
      <c r="A817" s="1">
        <v>45656</v>
      </c>
      <c r="B817" t="s">
        <v>16</v>
      </c>
      <c r="C817" t="s">
        <v>15</v>
      </c>
      <c r="D817">
        <v>36523</v>
      </c>
      <c r="E817">
        <v>516</v>
      </c>
      <c r="F817">
        <v>18845868</v>
      </c>
      <c r="G817">
        <v>481</v>
      </c>
      <c r="H817">
        <v>1278305</v>
      </c>
      <c r="I817" t="s">
        <v>17</v>
      </c>
      <c r="J817">
        <v>481696</v>
      </c>
      <c r="K817">
        <v>445173</v>
      </c>
    </row>
    <row r="818" spans="1:11" x14ac:dyDescent="0.25">
      <c r="A818" s="1">
        <v>45656</v>
      </c>
      <c r="B818" t="s">
        <v>18</v>
      </c>
      <c r="C818" t="s">
        <v>12</v>
      </c>
      <c r="D818">
        <v>30808</v>
      </c>
      <c r="E818">
        <v>627</v>
      </c>
      <c r="F818">
        <v>19316616</v>
      </c>
      <c r="G818">
        <v>584</v>
      </c>
      <c r="H818">
        <v>1324744</v>
      </c>
      <c r="I818" t="s">
        <v>13</v>
      </c>
      <c r="J818">
        <v>354692</v>
      </c>
      <c r="K818">
        <v>323884</v>
      </c>
    </row>
    <row r="819" spans="1:11" x14ac:dyDescent="0.25">
      <c r="A819" s="1">
        <v>45656</v>
      </c>
      <c r="B819" t="s">
        <v>18</v>
      </c>
      <c r="C819" t="s">
        <v>14</v>
      </c>
      <c r="D819">
        <v>20887</v>
      </c>
      <c r="E819">
        <v>808</v>
      </c>
      <c r="F819">
        <v>16876696</v>
      </c>
      <c r="G819">
        <v>746</v>
      </c>
      <c r="H819">
        <v>1294994</v>
      </c>
      <c r="I819" t="s">
        <v>13</v>
      </c>
      <c r="J819">
        <v>445809</v>
      </c>
      <c r="K819">
        <v>424922</v>
      </c>
    </row>
    <row r="820" spans="1:11" x14ac:dyDescent="0.25">
      <c r="A820" s="1">
        <v>45656</v>
      </c>
      <c r="B820" t="s">
        <v>18</v>
      </c>
      <c r="C820" t="s">
        <v>15</v>
      </c>
      <c r="D820">
        <v>46049</v>
      </c>
      <c r="E820">
        <v>593</v>
      </c>
      <c r="F820">
        <v>27307057</v>
      </c>
      <c r="G820">
        <v>517</v>
      </c>
      <c r="H820">
        <v>3499724</v>
      </c>
      <c r="I820" t="s">
        <v>13</v>
      </c>
      <c r="J820">
        <v>246220</v>
      </c>
      <c r="K820">
        <v>200171</v>
      </c>
    </row>
    <row r="821" spans="1:11" x14ac:dyDescent="0.25">
      <c r="A821" s="1">
        <v>45657</v>
      </c>
      <c r="B821" t="s">
        <v>11</v>
      </c>
      <c r="C821" t="s">
        <v>12</v>
      </c>
      <c r="D821">
        <v>23765</v>
      </c>
      <c r="E821">
        <v>606</v>
      </c>
      <c r="F821">
        <v>14401590</v>
      </c>
      <c r="G821">
        <v>562</v>
      </c>
      <c r="H821">
        <v>1045660</v>
      </c>
      <c r="I821" t="s">
        <v>17</v>
      </c>
      <c r="J821">
        <v>275277</v>
      </c>
      <c r="K821">
        <v>251512</v>
      </c>
    </row>
    <row r="822" spans="1:11" x14ac:dyDescent="0.25">
      <c r="A822" s="1">
        <v>45657</v>
      </c>
      <c r="B822" t="s">
        <v>11</v>
      </c>
      <c r="C822" t="s">
        <v>14</v>
      </c>
      <c r="D822">
        <v>42931</v>
      </c>
      <c r="E822">
        <v>778</v>
      </c>
      <c r="F822">
        <v>33400318</v>
      </c>
      <c r="G822">
        <v>725</v>
      </c>
      <c r="H822">
        <v>2275343</v>
      </c>
      <c r="I822" t="s">
        <v>17</v>
      </c>
      <c r="J822">
        <v>251913</v>
      </c>
      <c r="K822">
        <v>208982</v>
      </c>
    </row>
    <row r="823" spans="1:11" x14ac:dyDescent="0.25">
      <c r="A823" s="1">
        <v>45657</v>
      </c>
      <c r="B823" t="s">
        <v>11</v>
      </c>
      <c r="C823" t="s">
        <v>15</v>
      </c>
      <c r="D823">
        <v>45991</v>
      </c>
      <c r="E823">
        <v>589</v>
      </c>
      <c r="F823">
        <v>27088699</v>
      </c>
      <c r="G823">
        <v>531</v>
      </c>
      <c r="H823">
        <v>2667478</v>
      </c>
      <c r="I823" t="s">
        <v>17</v>
      </c>
      <c r="J823">
        <v>429577</v>
      </c>
      <c r="K823">
        <v>383586</v>
      </c>
    </row>
    <row r="824" spans="1:11" x14ac:dyDescent="0.25">
      <c r="A824" s="1">
        <v>45657</v>
      </c>
      <c r="B824" t="s">
        <v>16</v>
      </c>
      <c r="C824" t="s">
        <v>12</v>
      </c>
      <c r="D824">
        <v>30561</v>
      </c>
      <c r="E824">
        <v>605</v>
      </c>
      <c r="F824">
        <v>18489405</v>
      </c>
      <c r="G824">
        <v>571</v>
      </c>
      <c r="H824">
        <v>1039074</v>
      </c>
      <c r="I824" t="s">
        <v>17</v>
      </c>
      <c r="J824">
        <v>356989</v>
      </c>
      <c r="K824">
        <v>326428</v>
      </c>
    </row>
    <row r="825" spans="1:11" x14ac:dyDescent="0.25">
      <c r="A825" s="1">
        <v>45657</v>
      </c>
      <c r="B825" t="s">
        <v>16</v>
      </c>
      <c r="C825" t="s">
        <v>14</v>
      </c>
      <c r="D825">
        <v>21988</v>
      </c>
      <c r="E825">
        <v>831</v>
      </c>
      <c r="F825">
        <v>18272028</v>
      </c>
      <c r="G825">
        <v>776</v>
      </c>
      <c r="H825">
        <v>1209340</v>
      </c>
      <c r="I825" t="s">
        <v>17</v>
      </c>
      <c r="J825">
        <v>328467</v>
      </c>
      <c r="K825">
        <v>306479</v>
      </c>
    </row>
    <row r="826" spans="1:11" x14ac:dyDescent="0.25">
      <c r="A826" s="1">
        <v>45657</v>
      </c>
      <c r="B826" t="s">
        <v>16</v>
      </c>
      <c r="C826" t="s">
        <v>15</v>
      </c>
      <c r="D826">
        <v>34256</v>
      </c>
      <c r="E826">
        <v>590</v>
      </c>
      <c r="F826">
        <v>20211040</v>
      </c>
      <c r="G826">
        <v>512</v>
      </c>
      <c r="H826">
        <v>2671968</v>
      </c>
      <c r="I826" t="s">
        <v>17</v>
      </c>
      <c r="J826">
        <v>326155</v>
      </c>
      <c r="K826">
        <v>291899</v>
      </c>
    </row>
    <row r="827" spans="1:11" x14ac:dyDescent="0.25">
      <c r="A827" s="1">
        <v>45657</v>
      </c>
      <c r="B827" t="s">
        <v>18</v>
      </c>
      <c r="C827" t="s">
        <v>12</v>
      </c>
      <c r="D827">
        <v>79778</v>
      </c>
      <c r="E827">
        <v>609</v>
      </c>
      <c r="F827">
        <v>48584802</v>
      </c>
      <c r="G827">
        <v>546</v>
      </c>
      <c r="H827">
        <v>5026014</v>
      </c>
      <c r="I827" t="s">
        <v>17</v>
      </c>
      <c r="J827">
        <v>232088</v>
      </c>
      <c r="K827">
        <v>152310</v>
      </c>
    </row>
    <row r="828" spans="1:11" x14ac:dyDescent="0.25">
      <c r="A828" s="1">
        <v>45657</v>
      </c>
      <c r="B828" t="s">
        <v>18</v>
      </c>
      <c r="C828" t="s">
        <v>14</v>
      </c>
      <c r="D828">
        <v>61167</v>
      </c>
      <c r="E828">
        <v>751</v>
      </c>
      <c r="F828">
        <v>45936417</v>
      </c>
      <c r="G828">
        <v>698</v>
      </c>
      <c r="H828">
        <v>3241851</v>
      </c>
      <c r="I828" t="s">
        <v>13</v>
      </c>
      <c r="J828">
        <v>276361</v>
      </c>
      <c r="K828">
        <v>215194</v>
      </c>
    </row>
    <row r="829" spans="1:11" x14ac:dyDescent="0.25">
      <c r="A829" s="1">
        <v>45657</v>
      </c>
      <c r="B829" t="s">
        <v>18</v>
      </c>
      <c r="C829" t="s">
        <v>15</v>
      </c>
      <c r="D829">
        <v>24117</v>
      </c>
      <c r="E829">
        <v>525</v>
      </c>
      <c r="F829">
        <v>12661425</v>
      </c>
      <c r="G829">
        <v>453</v>
      </c>
      <c r="H829">
        <v>1736424</v>
      </c>
      <c r="I829" t="s">
        <v>17</v>
      </c>
      <c r="J829">
        <v>297718</v>
      </c>
      <c r="K829">
        <v>273601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7"/>
  <sheetViews>
    <sheetView workbookViewId="0">
      <selection activeCell="K16" sqref="K16"/>
    </sheetView>
  </sheetViews>
  <sheetFormatPr defaultRowHeight="15" x14ac:dyDescent="0.25"/>
  <cols>
    <col min="1" max="1" width="13.140625" bestFit="1" customWidth="1"/>
    <col min="2" max="2" width="20.140625" bestFit="1" customWidth="1"/>
    <col min="3" max="4" width="21.140625" bestFit="1" customWidth="1"/>
  </cols>
  <sheetData>
    <row r="3" spans="1:3" x14ac:dyDescent="0.25">
      <c r="A3" s="2" t="s">
        <v>19</v>
      </c>
      <c r="B3" t="s">
        <v>23</v>
      </c>
      <c r="C3" t="s">
        <v>22</v>
      </c>
    </row>
    <row r="4" spans="1:3" x14ac:dyDescent="0.25">
      <c r="A4" s="3" t="s">
        <v>14</v>
      </c>
      <c r="B4" s="4">
        <v>803053764</v>
      </c>
      <c r="C4" s="4">
        <v>12228194739</v>
      </c>
    </row>
    <row r="5" spans="1:3" x14ac:dyDescent="0.25">
      <c r="A5" s="3" t="s">
        <v>15</v>
      </c>
      <c r="B5" s="4">
        <v>828498971</v>
      </c>
      <c r="C5" s="4">
        <v>8061437093</v>
      </c>
    </row>
    <row r="6" spans="1:3" x14ac:dyDescent="0.25">
      <c r="A6" s="3" t="s">
        <v>12</v>
      </c>
      <c r="B6" s="4">
        <v>824310389</v>
      </c>
      <c r="C6" s="4">
        <v>9663695798</v>
      </c>
    </row>
    <row r="7" spans="1:3" x14ac:dyDescent="0.25">
      <c r="A7" s="3" t="s">
        <v>20</v>
      </c>
      <c r="B7" s="4">
        <v>2455863124</v>
      </c>
      <c r="C7" s="4">
        <v>29953327630</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7"/>
  <sheetViews>
    <sheetView workbookViewId="0">
      <selection activeCell="C6" sqref="C6"/>
    </sheetView>
  </sheetViews>
  <sheetFormatPr defaultRowHeight="15" x14ac:dyDescent="0.25"/>
  <cols>
    <col min="1" max="1" width="13.140625" bestFit="1" customWidth="1"/>
    <col min="2" max="2" width="21.140625" bestFit="1" customWidth="1"/>
    <col min="3" max="3" width="20.140625" bestFit="1" customWidth="1"/>
    <col min="4" max="4" width="21.5703125" bestFit="1" customWidth="1"/>
  </cols>
  <sheetData>
    <row r="3" spans="1:3" x14ac:dyDescent="0.25">
      <c r="A3" s="2" t="s">
        <v>19</v>
      </c>
      <c r="B3" t="s">
        <v>22</v>
      </c>
      <c r="C3" t="s">
        <v>23</v>
      </c>
    </row>
    <row r="4" spans="1:3" x14ac:dyDescent="0.25">
      <c r="A4" s="3" t="s">
        <v>11</v>
      </c>
      <c r="B4" s="4">
        <v>10014129260</v>
      </c>
      <c r="C4" s="4">
        <v>803488043</v>
      </c>
    </row>
    <row r="5" spans="1:3" x14ac:dyDescent="0.25">
      <c r="A5" s="3" t="s">
        <v>18</v>
      </c>
      <c r="B5" s="4">
        <v>9801549843</v>
      </c>
      <c r="C5" s="4">
        <v>834075972</v>
      </c>
    </row>
    <row r="6" spans="1:3" x14ac:dyDescent="0.25">
      <c r="A6" s="3" t="s">
        <v>16</v>
      </c>
      <c r="B6" s="4">
        <v>10137648527</v>
      </c>
      <c r="C6" s="4">
        <v>818299109</v>
      </c>
    </row>
    <row r="7" spans="1:3" x14ac:dyDescent="0.25">
      <c r="A7" s="3" t="s">
        <v>20</v>
      </c>
      <c r="B7" s="4">
        <v>29953327630</v>
      </c>
      <c r="C7" s="4">
        <v>2455863124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K12" sqref="K12"/>
    </sheetView>
  </sheetViews>
  <sheetFormatPr defaultRowHeight="15" x14ac:dyDescent="0.25"/>
  <cols>
    <col min="1" max="1" width="13.140625" bestFit="1" customWidth="1"/>
    <col min="2" max="2" width="21.140625" bestFit="1" customWidth="1"/>
  </cols>
  <sheetData>
    <row r="3" spans="1:2" x14ac:dyDescent="0.25">
      <c r="A3" s="2" t="s">
        <v>19</v>
      </c>
      <c r="B3" t="s">
        <v>22</v>
      </c>
    </row>
    <row r="4" spans="1:2" x14ac:dyDescent="0.25">
      <c r="A4" s="3" t="s">
        <v>24</v>
      </c>
      <c r="B4" s="4">
        <v>9943305491</v>
      </c>
    </row>
    <row r="5" spans="1:2" x14ac:dyDescent="0.25">
      <c r="A5" s="3" t="s">
        <v>25</v>
      </c>
      <c r="B5" s="4">
        <v>10006464101</v>
      </c>
    </row>
    <row r="6" spans="1:2" x14ac:dyDescent="0.25">
      <c r="A6" s="3" t="s">
        <v>26</v>
      </c>
      <c r="B6" s="4">
        <v>10003558038</v>
      </c>
    </row>
    <row r="7" spans="1:2" x14ac:dyDescent="0.25">
      <c r="A7" s="3" t="s">
        <v>20</v>
      </c>
      <c r="B7" s="4">
        <v>29953327630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6"/>
  <sheetViews>
    <sheetView workbookViewId="0">
      <selection activeCell="A4" sqref="A4"/>
    </sheetView>
  </sheetViews>
  <sheetFormatPr defaultRowHeight="15" x14ac:dyDescent="0.25"/>
  <cols>
    <col min="1" max="1" width="13.140625" bestFit="1" customWidth="1"/>
    <col min="2" max="2" width="21.5703125" bestFit="1" customWidth="1"/>
  </cols>
  <sheetData>
    <row r="3" spans="1:2" x14ac:dyDescent="0.25">
      <c r="A3" s="2" t="s">
        <v>19</v>
      </c>
      <c r="B3" t="s">
        <v>21</v>
      </c>
    </row>
    <row r="4" spans="1:2" x14ac:dyDescent="0.25">
      <c r="A4" s="3" t="s">
        <v>13</v>
      </c>
      <c r="B4" s="5">
        <v>22322657</v>
      </c>
    </row>
    <row r="5" spans="1:2" x14ac:dyDescent="0.25">
      <c r="A5" s="3" t="s">
        <v>17</v>
      </c>
      <c r="B5" s="5">
        <v>22093550</v>
      </c>
    </row>
    <row r="6" spans="1:2" x14ac:dyDescent="0.25">
      <c r="A6" s="3" t="s">
        <v>20</v>
      </c>
      <c r="B6" s="5">
        <v>44416207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1"/>
  <sheetViews>
    <sheetView showGridLines="0" tabSelected="1" zoomScale="93" zoomScaleNormal="93" workbookViewId="0">
      <selection activeCell="U13" sqref="U13"/>
    </sheetView>
  </sheetViews>
  <sheetFormatPr defaultRowHeight="15" x14ac:dyDescent="0.25"/>
  <cols>
    <col min="1" max="19" width="9.140625" style="8"/>
    <col min="20" max="20" width="14.5703125" style="8" customWidth="1"/>
    <col min="21" max="16384" width="9.140625" style="8"/>
  </cols>
  <sheetData>
    <row r="1" spans="1:20" ht="31.5" x14ac:dyDescent="0.5">
      <c r="A1" s="9" t="s">
        <v>27</v>
      </c>
      <c r="B1" s="10"/>
      <c r="C1" s="10"/>
      <c r="D1" s="10"/>
      <c r="E1" s="10"/>
      <c r="F1" s="10"/>
      <c r="G1" s="10"/>
      <c r="H1" s="10"/>
      <c r="I1" s="10"/>
      <c r="J1" s="10"/>
      <c r="K1" s="10"/>
      <c r="L1" s="10"/>
      <c r="M1" s="10"/>
      <c r="N1" s="10"/>
      <c r="O1" s="10"/>
      <c r="P1" s="10"/>
      <c r="Q1" s="10"/>
      <c r="R1" s="10"/>
      <c r="S1" s="10"/>
      <c r="T1" s="10"/>
    </row>
  </sheetData>
  <sheetProtection sheet="1" objects="1" scenarios="1"/>
  <mergeCells count="1">
    <mergeCell ref="A1:T1"/>
  </mergeCells>
  <pageMargins left="0.7" right="0.7" top="0.75" bottom="0.75" header="0.3" footer="0.3"/>
  <pageSetup paperSize="9" scale="69"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CA87E-58DE-4D85-93F3-13C2786BD6D9}">
  <dimension ref="A3:D23"/>
  <sheetViews>
    <sheetView topLeftCell="A7" workbookViewId="0">
      <selection activeCell="G13" sqref="G13"/>
    </sheetView>
  </sheetViews>
  <sheetFormatPr defaultRowHeight="15" x14ac:dyDescent="0.25"/>
  <cols>
    <col min="1" max="1" width="32.140625" customWidth="1"/>
    <col min="2" max="2" width="21.140625" bestFit="1" customWidth="1"/>
    <col min="3" max="3" width="19" bestFit="1" customWidth="1"/>
    <col min="4" max="4" width="40" customWidth="1"/>
  </cols>
  <sheetData>
    <row r="3" spans="1:4" x14ac:dyDescent="0.25">
      <c r="A3" t="s">
        <v>22</v>
      </c>
    </row>
    <row r="4" spans="1:4" ht="30" x14ac:dyDescent="0.25">
      <c r="A4" s="4">
        <v>29953327630</v>
      </c>
      <c r="C4" s="4">
        <f>GETPIVOTDATA("Sum of Total_Revenue",A4)</f>
        <v>29953327630</v>
      </c>
      <c r="D4" s="7" t="str">
        <f>"TOTAL REVENUE" &amp; CHAR(10) &amp; TEXT(A4,"₦#,##0")</f>
        <v>TOTAL REVENUE
₦29,953,327,630</v>
      </c>
    </row>
    <row r="6" spans="1:4" x14ac:dyDescent="0.25">
      <c r="A6" t="s">
        <v>21</v>
      </c>
    </row>
    <row r="7" spans="1:4" ht="30" x14ac:dyDescent="0.25">
      <c r="A7" s="5">
        <v>44416207</v>
      </c>
      <c r="C7">
        <f>GETPIVOTDATA("Quantity_Litres",$A$6)</f>
        <v>44416207</v>
      </c>
      <c r="D7" s="7" t="str">
        <f>"TOTAL VOLUME "&amp;CHAR(10)&amp;TEXT(A7,"#,##0")&amp;"L"</f>
        <v>TOTAL VOLUME 
44,416,207L</v>
      </c>
    </row>
    <row r="9" spans="1:4" x14ac:dyDescent="0.25">
      <c r="A9" t="s">
        <v>28</v>
      </c>
    </row>
    <row r="10" spans="1:4" ht="30" x14ac:dyDescent="0.25">
      <c r="A10" s="6">
        <v>8.1989659190330161E-2</v>
      </c>
      <c r="D10" s="7" t="str">
        <f>"AVERAGE MARGIN"&amp;CHAR(10)&amp;TEXT(A10,"0.00%")</f>
        <v>AVERAGE MARGIN
8.20%</v>
      </c>
    </row>
    <row r="12" spans="1:4" ht="30" x14ac:dyDescent="0.25">
      <c r="A12" s="2" t="s">
        <v>19</v>
      </c>
      <c r="B12" t="s">
        <v>22</v>
      </c>
      <c r="D12" s="7" t="str">
        <f>"TOP PRODUCT"&amp;CHAR(10)&amp;A13</f>
        <v>TOP PRODUCT
AGO</v>
      </c>
    </row>
    <row r="13" spans="1:4" x14ac:dyDescent="0.25">
      <c r="A13" s="3" t="s">
        <v>14</v>
      </c>
      <c r="B13" s="4">
        <v>12228194739</v>
      </c>
    </row>
    <row r="14" spans="1:4" x14ac:dyDescent="0.25">
      <c r="A14" s="3" t="s">
        <v>12</v>
      </c>
      <c r="B14" s="4">
        <v>9663695798</v>
      </c>
    </row>
    <row r="15" spans="1:4" x14ac:dyDescent="0.25">
      <c r="A15" s="3" t="s">
        <v>15</v>
      </c>
      <c r="B15" s="4">
        <v>8061437093</v>
      </c>
    </row>
    <row r="16" spans="1:4" x14ac:dyDescent="0.25">
      <c r="A16" s="3" t="s">
        <v>20</v>
      </c>
      <c r="B16" s="4">
        <v>29953327630</v>
      </c>
    </row>
    <row r="19" spans="1:4" ht="30" x14ac:dyDescent="0.25">
      <c r="A19" s="2" t="s">
        <v>19</v>
      </c>
      <c r="B19" t="s">
        <v>22</v>
      </c>
      <c r="D19" s="7" t="str">
        <f>"TOP DEPOT"&amp;CHAR(10)&amp;A20</f>
        <v>TOP DEPOT
Warri</v>
      </c>
    </row>
    <row r="20" spans="1:4" x14ac:dyDescent="0.25">
      <c r="A20" s="3" t="s">
        <v>16</v>
      </c>
      <c r="B20" s="4">
        <v>10137648527</v>
      </c>
    </row>
    <row r="21" spans="1:4" x14ac:dyDescent="0.25">
      <c r="A21" s="3" t="s">
        <v>11</v>
      </c>
      <c r="B21" s="4">
        <v>10014129260</v>
      </c>
    </row>
    <row r="22" spans="1:4" x14ac:dyDescent="0.25">
      <c r="A22" s="3" t="s">
        <v>18</v>
      </c>
      <c r="B22" s="4">
        <v>9801549843</v>
      </c>
    </row>
    <row r="23" spans="1:4" x14ac:dyDescent="0.25">
      <c r="A23" s="3" t="s">
        <v>20</v>
      </c>
      <c r="B23" s="4">
        <v>29953327630</v>
      </c>
    </row>
  </sheetData>
  <pageMargins left="0.7" right="0.7" top="0.75" bottom="0.75" header="0.3" footer="0.3"/>
  <pageSetup paperSize="9" orientation="portrait" r:id="rId6"/>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downstream_data</vt:lpstr>
      <vt:lpstr>Product_Performance</vt:lpstr>
      <vt:lpstr>Depot_Performance</vt:lpstr>
      <vt:lpstr>Monthly_Trends</vt:lpstr>
      <vt:lpstr>Customer_Analysis</vt:lpstr>
      <vt:lpstr>DASHBOARD</vt:lpstr>
      <vt:lpstr>KPI_PVT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dc:creator>
  <cp:lastModifiedBy>JESSE</cp:lastModifiedBy>
  <cp:lastPrinted>2026-02-04T17:39:46Z</cp:lastPrinted>
  <dcterms:created xsi:type="dcterms:W3CDTF">2026-02-04T11:20:32Z</dcterms:created>
  <dcterms:modified xsi:type="dcterms:W3CDTF">2026-02-04T17:40:56Z</dcterms:modified>
</cp:coreProperties>
</file>